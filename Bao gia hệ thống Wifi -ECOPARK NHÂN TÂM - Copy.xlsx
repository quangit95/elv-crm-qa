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Báo giá Camera\"/>
    </mc:Choice>
  </mc:AlternateContent>
  <xr:revisionPtr revIDLastSave="0" documentId="13_ncr:1_{817C65A7-1457-45BF-99ED-D6E87387458D}" xr6:coauthVersionLast="47" xr6:coauthVersionMax="47" xr10:uidLastSave="{00000000-0000-0000-0000-000000000000}"/>
  <bookViews>
    <workbookView xWindow="-120" yWindow="-120" windowWidth="29040" windowHeight="15840" xr2:uid="{00000000-000D-0000-FFFF-FFFF00000000}"/>
  </bookViews>
  <sheets>
    <sheet name="KAHO (2)" sheetId="20" r:id="rId1"/>
  </sheets>
  <definedNames>
    <definedName name="_xlnm.Print_Area" localSheetId="0">'KAHO (2)'!$A$1:$G$57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1" i="20" l="1"/>
  <c r="G40" i="20"/>
  <c r="G39" i="20"/>
  <c r="G38" i="20"/>
  <c r="G37" i="20"/>
  <c r="G36" i="20"/>
  <c r="G35" i="20"/>
  <c r="G34" i="20"/>
  <c r="G32" i="20"/>
  <c r="G31" i="20"/>
  <c r="G30" i="20"/>
  <c r="G29" i="20"/>
  <c r="G28" i="20"/>
  <c r="G26" i="20"/>
  <c r="G25" i="20"/>
  <c r="G24" i="20"/>
  <c r="G23" i="20"/>
  <c r="G22" i="20" s="1"/>
  <c r="G21" i="20"/>
  <c r="G20" i="20"/>
  <c r="G19" i="20"/>
  <c r="G18" i="20"/>
  <c r="G17" i="20"/>
  <c r="G16" i="20"/>
  <c r="G15" i="20"/>
  <c r="G14" i="20"/>
  <c r="F6" i="20"/>
  <c r="G13" i="20" l="1"/>
  <c r="G27" i="20"/>
  <c r="G33" i="20"/>
  <c r="G42" i="20" l="1"/>
  <c r="G43" i="20" s="1"/>
  <c r="G44" i="20" s="1"/>
</calcChain>
</file>

<file path=xl/sharedStrings.xml><?xml version="1.0" encoding="utf-8"?>
<sst xmlns="http://schemas.openxmlformats.org/spreadsheetml/2006/main" count="108" uniqueCount="63">
  <si>
    <t>Company:</t>
  </si>
  <si>
    <t>Date:</t>
  </si>
  <si>
    <t>Attn:</t>
  </si>
  <si>
    <t>From:</t>
  </si>
  <si>
    <t>Tel:</t>
  </si>
  <si>
    <t>Email:</t>
  </si>
  <si>
    <t>Thank you very much for your interest in our business. Now I am please to serve you the price
 for your requirement</t>
  </si>
  <si>
    <t>I</t>
  </si>
  <si>
    <t>BẢNG BÁO GIÁ</t>
  </si>
  <si>
    <t>Mô tả</t>
  </si>
  <si>
    <t>Stt</t>
  </si>
  <si>
    <t xml:space="preserve">Thiết bị </t>
  </si>
  <si>
    <t>Đơn vị</t>
  </si>
  <si>
    <t>S.lượng</t>
  </si>
  <si>
    <t>cái</t>
  </si>
  <si>
    <t>Location: Nha Trang</t>
  </si>
  <si>
    <t>Đơn giá
VNĐ</t>
  </si>
  <si>
    <t>Thành tiền
VND</t>
  </si>
  <si>
    <t>mét</t>
  </si>
  <si>
    <t>09 3579 3070</t>
  </si>
  <si>
    <t>cuộn</t>
  </si>
  <si>
    <r>
      <rPr>
        <b/>
        <sz val="14"/>
        <rFont val="Times New Roman"/>
        <family val="1"/>
      </rPr>
      <t>QA Tech</t>
    </r>
    <r>
      <rPr>
        <b/>
        <sz val="11"/>
        <rFont val="Times New Roman"/>
        <family val="1"/>
      </rPr>
      <t xml:space="preserve">
DỊCH VỤ CNTT – ĐIỆN NHẸ – NHÀ THÔNG MINH 
</t>
    </r>
    <r>
      <rPr>
        <sz val="11"/>
        <rFont val="Times New Roman"/>
        <family val="1"/>
      </rPr>
      <t xml:space="preserve">Địa chỉ: Cầu Bè, đường Lạc Hoà 1, xã Diên Lạc, Tỉnh Khánh Hoà 
SĐT: 0935793070 
Email: tech.quanganh@gmail.com </t>
    </r>
  </si>
  <si>
    <t>TA/08-26/NHA TRANG</t>
  </si>
  <si>
    <t>lnquang1@gmail.com</t>
  </si>
  <si>
    <t>HẠNG MỤC THI CÔNG HẠ TẦNG WIFI</t>
  </si>
  <si>
    <t>Thiết bị Router chịu tải Mikrotik RB5009</t>
  </si>
  <si>
    <t>Dây tín hiệu Cat6 hợp kim kèm sợi cường lực và vỏ bọc bằng nhựa pvc</t>
  </si>
  <si>
    <t>thùng</t>
  </si>
  <si>
    <t>Vật tư phụ</t>
  </si>
  <si>
    <t>`- Dây điện, băng keo, Dây rút, đầu mạng, phích cắm, ổ cắm điện…v.v</t>
  </si>
  <si>
    <t>gói</t>
  </si>
  <si>
    <t xml:space="preserve">ĐIỀU KHOẢN VÀ ĐIỀU KIỆN: </t>
  </si>
  <si>
    <t>- Bảo hành : 1 năm kể từ ngày giao hàng</t>
  </si>
  <si>
    <t>- Giá đã bao gồm : phí vận chuyển , và hỗ trợ tại chỗ</t>
  </si>
  <si>
    <t>Chưa bao gồm 8% VAT</t>
  </si>
  <si>
    <t>- Báo giá này có giá trị trong vòng 30 ngày</t>
  </si>
  <si>
    <t>- Tiến độ giao hàng : sau khi xác nhận</t>
  </si>
  <si>
    <t>- Hình thức thanh toán: Tiền mặt / Chuyển khoản, 50% sau khi ký hợp đồng, 50% sau khi bàn giao, nghiệm thu</t>
  </si>
  <si>
    <t>Nhân viên báo giá</t>
  </si>
  <si>
    <t>TO ACCEPT THIS QUOTATION
(SIGN HERE, STAMP AND RETURN)</t>
  </si>
  <si>
    <t>Print name:</t>
  </si>
  <si>
    <t>Nhân công thi công kéo dây, lắp đặt cấu hình</t>
  </si>
  <si>
    <t>– Ruột dẫn 24AWG/4PRS
– Vật liệu: đồng 99%
– Vỏ bọc: nhựa PVC màu trắng, xanh</t>
  </si>
  <si>
    <t xml:space="preserve">Ruột gà D20 </t>
  </si>
  <si>
    <r>
      <t xml:space="preserve">AP vô tuyến gắn trần Gigabit với hiệu suất vô tuyến kép
Hỗ trợ Reyee Mesh và Tối ưu hóa Vô tuyến AI (WIO)
Lắp đặt dễ dàng, kích thước nhỏ gọn
Thẩm mỹ hình tròn mới, phù hợp hơn với phong cách trang trí khách sạn
Cổng thông tin AP portal độc lập mạnh mẽ qua Ruijie Cloud
</t>
    </r>
    <r>
      <rPr>
        <b/>
        <sz val="12"/>
        <rFont val="Times New Roman"/>
        <family val="1"/>
      </rPr>
      <t>Bảo hành 12 tháng</t>
    </r>
  </si>
  <si>
    <t>Khu Hồ Bơi</t>
  </si>
  <si>
    <t>Bộ phát Wifi 6 chuẩn AX ốp trần  Ruijie RG-RAP62</t>
  </si>
  <si>
    <t>III</t>
  </si>
  <si>
    <t>IV</t>
  </si>
  <si>
    <t>V</t>
  </si>
  <si>
    <t>Dây cáp quang 1FO</t>
  </si>
  <si>
    <t>Kết nối các khu vực về tủ trung tâm</t>
  </si>
  <si>
    <t>Khu Nhà Hàng</t>
  </si>
  <si>
    <t>Khu Tắm Bùn - SPA</t>
  </si>
  <si>
    <t>Khu Câu Cá Sấu</t>
  </si>
  <si>
    <t>Khu Lễ Tân</t>
  </si>
  <si>
    <t>Dây điện Cadivi  CV 1.5mm</t>
  </si>
  <si>
    <r>
      <t xml:space="preserve">*  RB5009 là Router chịu tải cao , Cân bằng tải nhiều đường truyền đồng thời
- Các cổng được kết nối với chip chuyển mạch Marvell Amethyst mạnh mẽ 10 Gbps đi tới Bộ xử lý Lõi Tứ Marvell Armada ARMv8 1,4 GHz.
- Được trang bị RAM 1GB, bộ nhớ NAND 1GB giúp tăng gấp đôi hiệu suất xử lý với cấu hình có tải CPU nặng.
- Chịu tải đồng thời 500 thiết bị
- Điện năng cấp vào DC 12V
</t>
    </r>
    <r>
      <rPr>
        <b/>
        <sz val="12"/>
        <rFont val="Times New Roman"/>
        <family val="1"/>
      </rPr>
      <t xml:space="preserve"> Bảo hành: 12 tháng.</t>
    </r>
  </si>
  <si>
    <t>VAT 8%</t>
  </si>
  <si>
    <t>Tổng chưa bao gồm VAT (VND)</t>
  </si>
  <si>
    <t>Tổng Cộng (VND)</t>
  </si>
  <si>
    <t>II</t>
  </si>
  <si>
    <t>ECOPARK NHÂN TÂM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</si>
</sst>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5" formatCode="&quot;$&quot;#,##0_);\(&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 #,##0.00_-;_-* &quot;-&quot;??_-;_-@_-"/>
    <numFmt numFmtId="165" formatCode="_(* #,##0_);_(* \(#,##0\);_(* &quot;-&quot;??_);_(@_)"/>
    <numFmt numFmtId="166" formatCode="m/d/yyyy;@"/>
    <numFmt numFmtId="167" formatCode="_-&quot;$&quot;* #,##0.00_-;\-&quot;$&quot;* #,##0.00_-;_-&quot;$&quot;* &quot;-&quot;??_-;_-@_-"/>
    <numFmt numFmtId="168" formatCode="[$$-409]#,##0.00"/>
    <numFmt numFmtId="169" formatCode="_-* #,##0\ [$₫-42A]_-;\-* #,##0\ [$₫-42A]_-;_-* &quot;-&quot;\ [$₫-42A]_-;_-@_-"/>
    <numFmt numFmtId="170" formatCode="#&quot;,&quot;##0\ &quot;$&quot;_);[Red]\(#&quot;,&quot;##0\ &quot;$&quot;\)"/>
    <numFmt numFmtId="171" formatCode="#,##0.000_);[Red]\(#,##0.000\)"/>
    <numFmt numFmtId="172" formatCode="#&quot;,&quot;##0\ &quot;DM&quot;;\-#&quot;,&quot;##0\ &quot;DM&quot;"/>
    <numFmt numFmtId="173" formatCode="0.000%"/>
    <numFmt numFmtId="174" formatCode="&quot;￥&quot;#&quot;,&quot;##0;&quot;￥&quot;\-#&quot;,&quot;##0"/>
    <numFmt numFmtId="175" formatCode="00.000"/>
    <numFmt numFmtId="176" formatCode="_-* #&quot;,&quot;##0_-;\-* #&quot;,&quot;##0_-;_-* &quot;-&quot;_-;_-@_-"/>
    <numFmt numFmtId="177" formatCode="_-* #&quot;,&quot;##0.00_-;\-* #&quot;,&quot;##0.00_-;_-* &quot;-&quot;??_-;_-@_-"/>
    <numFmt numFmtId="178" formatCode="_-&quot;$&quot;* #&quot;,&quot;##0_-;\-&quot;$&quot;* #&quot;,&quot;##0_-;_-&quot;$&quot;* &quot;-&quot;_-;_-@_-"/>
    <numFmt numFmtId="179" formatCode="_-&quot;$&quot;* #&quot;,&quot;##0.00_-;\-&quot;$&quot;* #&quot;,&quot;##0.00_-;_-&quot;$&quot;* &quot;-&quot;??_-;_-@_-"/>
    <numFmt numFmtId="180" formatCode="_(* #,##0.00_);_(* \(#,##0.00\);_(* \-??_);_(@_)"/>
    <numFmt numFmtId="181" formatCode="_(\$* #,##0.00_);_(\$* \(#,##0.00\);_(\$* \-??_);_(@_)"/>
  </numFmts>
  <fonts count="115">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9"/>
      <name val="Arial"/>
      <family val="2"/>
    </font>
    <font>
      <sz val="10"/>
      <name val="Arial"/>
      <family val="2"/>
    </font>
    <font>
      <b/>
      <sz val="11"/>
      <color indexed="8"/>
      <name val="Calibri"/>
      <family val="2"/>
    </font>
    <font>
      <sz val="11"/>
      <color indexed="8"/>
      <name val="Calibri"/>
      <family val="2"/>
    </font>
    <font>
      <sz val="10"/>
      <name val="Arial"/>
      <family val="2"/>
      <charset val="163"/>
    </font>
    <font>
      <u/>
      <sz val="10"/>
      <color indexed="12"/>
      <name val="Arial"/>
      <family val="2"/>
    </font>
    <font>
      <u/>
      <sz val="11"/>
      <color indexed="12"/>
      <name val="Calibri"/>
      <family val="2"/>
    </font>
    <font>
      <sz val="11"/>
      <color indexed="9"/>
      <name val="Calibri"/>
      <family val="2"/>
    </font>
    <font>
      <u/>
      <sz val="10"/>
      <color theme="10"/>
      <name val="Arial"/>
      <family val="2"/>
    </font>
    <font>
      <sz val="10"/>
      <name val="Helv"/>
      <family val="2"/>
    </font>
    <font>
      <sz val="10"/>
      <name val="VNI-Helve"/>
    </font>
    <font>
      <sz val="12"/>
      <name val="新細明體"/>
      <family val="1"/>
      <charset val="136"/>
    </font>
    <font>
      <sz val="12"/>
      <name val="Arial"/>
      <family val="2"/>
      <charset val="163"/>
    </font>
    <font>
      <b/>
      <sz val="8"/>
      <name val="Arial"/>
      <family val="2"/>
      <charset val="163"/>
    </font>
    <font>
      <sz val="10"/>
      <name val="MS Sans Serif"/>
      <family val="2"/>
    </font>
    <font>
      <u/>
      <sz val="10"/>
      <color indexed="12"/>
      <name val="Arial"/>
      <family val="2"/>
      <charset val="163"/>
    </font>
    <font>
      <u/>
      <sz val="11"/>
      <color theme="10"/>
      <name val="Calibri"/>
      <family val="2"/>
    </font>
    <font>
      <sz val="8"/>
      <name val="Arial"/>
      <family val="2"/>
    </font>
    <font>
      <sz val="12"/>
      <name val="新細明體"/>
      <family val="1"/>
      <charset val="136"/>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2"/>
      <name val="Arial"/>
      <family val="2"/>
    </font>
    <font>
      <sz val="11"/>
      <color indexed="8"/>
      <name val="新細明體"/>
      <family val="1"/>
      <charset val="136"/>
    </font>
    <font>
      <sz val="12"/>
      <color indexed="8"/>
      <name val="新細明體"/>
      <family val="1"/>
      <charset val="136"/>
    </font>
    <font>
      <sz val="10"/>
      <color indexed="8"/>
      <name val="Arial Unicode MS"/>
      <family val="2"/>
      <charset val="136"/>
    </font>
    <font>
      <sz val="11"/>
      <color indexed="9"/>
      <name val="新細明體"/>
      <family val="1"/>
      <charset val="136"/>
    </font>
    <font>
      <sz val="12"/>
      <color indexed="9"/>
      <name val="新細明體"/>
      <family val="1"/>
      <charset val="136"/>
    </font>
    <font>
      <sz val="10"/>
      <color indexed="9"/>
      <name val="Arial Unicode MS"/>
      <family val="2"/>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18"/>
      <color indexed="56"/>
      <name val="Cambria"/>
      <family val="1"/>
    </font>
    <font>
      <b/>
      <sz val="18"/>
      <color indexed="56"/>
      <name val="新細明體"/>
      <family val="1"/>
      <charset val="136"/>
    </font>
    <font>
      <b/>
      <sz val="11"/>
      <color indexed="8"/>
      <name val="新細明體"/>
      <family val="1"/>
      <charset val="136"/>
    </font>
    <font>
      <sz val="11"/>
      <color indexed="10"/>
      <name val="新細明體"/>
      <family val="1"/>
      <charset val="136"/>
    </font>
    <font>
      <sz val="12"/>
      <color indexed="60"/>
      <name val="新細明體"/>
      <family val="1"/>
      <charset val="136"/>
    </font>
    <font>
      <sz val="10"/>
      <color indexed="60"/>
      <name val="Arial Unicode MS"/>
      <family val="2"/>
      <charset val="136"/>
    </font>
    <font>
      <b/>
      <sz val="12"/>
      <color indexed="8"/>
      <name val="新細明體"/>
      <family val="1"/>
      <charset val="136"/>
    </font>
    <font>
      <b/>
      <sz val="10"/>
      <color indexed="8"/>
      <name val="Arial Unicode MS"/>
      <family val="2"/>
      <charset val="136"/>
    </font>
    <font>
      <sz val="12"/>
      <color indexed="20"/>
      <name val="新細明體"/>
      <family val="1"/>
      <charset val="136"/>
    </font>
    <font>
      <sz val="10"/>
      <color indexed="20"/>
      <name val="Arial Unicode MS"/>
      <family val="2"/>
      <charset val="136"/>
    </font>
    <font>
      <sz val="12"/>
      <color indexed="17"/>
      <name val="新細明體"/>
      <family val="1"/>
      <charset val="136"/>
    </font>
    <font>
      <sz val="10"/>
      <color indexed="17"/>
      <name val="Arial Unicode MS"/>
      <family val="2"/>
      <charset val="136"/>
    </font>
    <font>
      <b/>
      <sz val="15"/>
      <color indexed="56"/>
      <name val="Arial Unicode MS"/>
      <family val="2"/>
      <charset val="136"/>
    </font>
    <font>
      <b/>
      <sz val="13"/>
      <color indexed="56"/>
      <name val="Arial Unicode MS"/>
      <family val="2"/>
      <charset val="136"/>
    </font>
    <font>
      <b/>
      <sz val="11"/>
      <color indexed="56"/>
      <name val="Arial Unicode MS"/>
      <family val="2"/>
      <charset val="136"/>
    </font>
    <font>
      <b/>
      <sz val="12"/>
      <color indexed="9"/>
      <name val="新細明體"/>
      <family val="1"/>
      <charset val="136"/>
    </font>
    <font>
      <b/>
      <sz val="10"/>
      <color indexed="9"/>
      <name val="Arial Unicode MS"/>
      <family val="2"/>
      <charset val="136"/>
    </font>
    <font>
      <b/>
      <sz val="12"/>
      <color indexed="52"/>
      <name val="新細明體"/>
      <family val="1"/>
      <charset val="136"/>
    </font>
    <font>
      <b/>
      <sz val="10"/>
      <color indexed="52"/>
      <name val="Arial Unicode MS"/>
      <family val="2"/>
      <charset val="136"/>
    </font>
    <font>
      <i/>
      <sz val="12"/>
      <color indexed="23"/>
      <name val="新細明體"/>
      <family val="1"/>
      <charset val="136"/>
    </font>
    <font>
      <i/>
      <sz val="10"/>
      <color indexed="23"/>
      <name val="Arial Unicode MS"/>
      <family val="2"/>
      <charset val="136"/>
    </font>
    <font>
      <sz val="12"/>
      <color indexed="10"/>
      <name val="新細明體"/>
      <family val="1"/>
      <charset val="136"/>
    </font>
    <font>
      <sz val="10"/>
      <color indexed="10"/>
      <name val="Arial Unicode MS"/>
      <family val="2"/>
      <charset val="136"/>
    </font>
    <font>
      <u/>
      <sz val="12"/>
      <color indexed="12"/>
      <name val="新細明體"/>
      <family val="1"/>
      <charset val="136"/>
    </font>
    <font>
      <sz val="12"/>
      <color indexed="62"/>
      <name val="新細明體"/>
      <family val="1"/>
      <charset val="136"/>
    </font>
    <font>
      <sz val="10"/>
      <color indexed="62"/>
      <name val="Arial Unicode MS"/>
      <family val="2"/>
      <charset val="136"/>
    </font>
    <font>
      <b/>
      <sz val="12"/>
      <color indexed="63"/>
      <name val="新細明體"/>
      <family val="1"/>
      <charset val="136"/>
    </font>
    <font>
      <b/>
      <sz val="10"/>
      <color indexed="63"/>
      <name val="Arial Unicode MS"/>
      <family val="2"/>
      <charset val="136"/>
    </font>
    <font>
      <sz val="12"/>
      <color indexed="52"/>
      <name val="新細明體"/>
      <family val="1"/>
      <charset val="136"/>
    </font>
    <font>
      <sz val="10"/>
      <color indexed="52"/>
      <name val="Arial Unicode MS"/>
      <family val="2"/>
      <charset val="136"/>
    </font>
    <font>
      <sz val="14"/>
      <name val=".VnTime"/>
      <family val="2"/>
    </font>
    <font>
      <sz val="10"/>
      <color indexed="8"/>
      <name val="MS Sans Serif"/>
      <family val="2"/>
    </font>
    <font>
      <sz val="12"/>
      <name val=".VnTime"/>
      <family val="1"/>
    </font>
    <font>
      <sz val="10"/>
      <name val="VNI-Times"/>
    </font>
    <font>
      <sz val="14"/>
      <name val="뼻뮝"/>
      <family val="3"/>
    </font>
    <font>
      <sz val="12"/>
      <name val="바탕체"/>
      <family val="3"/>
    </font>
    <font>
      <sz val="12"/>
      <name val="뼻뮝"/>
      <family val="3"/>
    </font>
    <font>
      <sz val="11"/>
      <name val="돋움"/>
      <family val="3"/>
    </font>
    <font>
      <sz val="10"/>
      <name val="굴림체"/>
      <family val="3"/>
    </font>
    <font>
      <sz val="12"/>
      <name val="新細明體"/>
      <family val="1"/>
      <charset val="136"/>
    </font>
    <font>
      <sz val="10"/>
      <name val="Arial"/>
      <family val="2"/>
      <charset val="204"/>
    </font>
    <font>
      <sz val="10"/>
      <name val="Times New Roman"/>
      <family val="1"/>
      <charset val="204"/>
    </font>
    <font>
      <sz val="11"/>
      <color theme="1"/>
      <name val="Times New Roman"/>
      <family val="1"/>
    </font>
    <font>
      <sz val="11"/>
      <name val="Times New Roman"/>
      <family val="1"/>
    </font>
    <font>
      <b/>
      <sz val="11"/>
      <name val="Times New Roman"/>
      <family val="1"/>
    </font>
    <font>
      <b/>
      <sz val="11"/>
      <color theme="1"/>
      <name val="Times New Roman"/>
      <family val="1"/>
    </font>
    <font>
      <b/>
      <sz val="14"/>
      <name val="Times New Roman"/>
      <family val="1"/>
    </font>
    <font>
      <b/>
      <sz val="12"/>
      <name val="Times New Roman"/>
      <family val="1"/>
    </font>
    <font>
      <sz val="16"/>
      <name val="Times New Roman"/>
      <family val="1"/>
    </font>
    <font>
      <b/>
      <sz val="18"/>
      <name val="Times New Roman"/>
      <family val="1"/>
    </font>
    <font>
      <u/>
      <sz val="11"/>
      <color indexed="12"/>
      <name val="Times New Roman"/>
      <family val="1"/>
    </font>
    <font>
      <sz val="12"/>
      <name val="Times New Roman"/>
      <family val="1"/>
    </font>
    <font>
      <sz val="12"/>
      <name val=".VnTime"/>
      <family val="2"/>
    </font>
    <font>
      <b/>
      <u/>
      <sz val="11"/>
      <name val="Times New Roman"/>
      <family val="1"/>
    </font>
    <font>
      <b/>
      <sz val="16"/>
      <color theme="1"/>
      <name val="Times New Roman"/>
      <family val="1"/>
    </font>
  </fonts>
  <fills count="34">
    <fill>
      <patternFill patternType="none"/>
    </fill>
    <fill>
      <patternFill patternType="gray125"/>
    </fill>
    <fill>
      <patternFill patternType="solid">
        <fgColor theme="8" tint="0.59999389629810485"/>
        <bgColor indexed="64"/>
      </patternFill>
    </fill>
    <fill>
      <patternFill patternType="solid">
        <fgColor theme="2"/>
        <bgColor indexed="64"/>
      </patternFill>
    </fill>
    <fill>
      <patternFill patternType="solid">
        <fgColor theme="9" tint="0.59999389629810485"/>
        <bgColor indexed="64"/>
      </patternFill>
    </fill>
    <fill>
      <patternFill patternType="solid">
        <fgColor indexed="13"/>
        <bgColor indexed="64"/>
      </patternFill>
    </fill>
    <fill>
      <patternFill patternType="solid">
        <fgColor rgb="FFF8F8FF"/>
        <bgColor rgb="FFF8F8FF"/>
      </patternFill>
    </fill>
    <fill>
      <patternFill patternType="solid">
        <fgColor rgb="FFFFFFFF"/>
        <bgColor rgb="FFFFFFFF"/>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4" tint="0.59999389629810485"/>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hair">
        <color indexed="8"/>
      </left>
      <right style="hair">
        <color indexed="8"/>
      </right>
      <top style="hair">
        <color indexed="8"/>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558">
    <xf numFmtId="0" fontId="0" fillId="0" borderId="0"/>
    <xf numFmtId="0" fontId="7"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12" fillId="0" borderId="0"/>
    <xf numFmtId="0" fontId="13" fillId="0" borderId="0" applyNumberFormat="0" applyFill="0" applyBorder="0" applyAlignment="0" applyProtection="0">
      <alignment vertical="top"/>
      <protection locked="0"/>
    </xf>
    <xf numFmtId="43" fontId="9" fillId="0" borderId="0" applyFont="0" applyFill="0" applyBorder="0" applyAlignment="0" applyProtection="0"/>
    <xf numFmtId="0" fontId="9" fillId="0" borderId="0"/>
    <xf numFmtId="0" fontId="6" fillId="0" borderId="0"/>
    <xf numFmtId="43" fontId="9" fillId="0" borderId="0" applyFont="0" applyFill="0" applyBorder="0" applyAlignment="0" applyProtection="0"/>
    <xf numFmtId="0" fontId="9" fillId="0" borderId="0"/>
    <xf numFmtId="0" fontId="9" fillId="0" borderId="0"/>
    <xf numFmtId="0" fontId="6" fillId="0" borderId="0"/>
    <xf numFmtId="0" fontId="9" fillId="0" borderId="0"/>
    <xf numFmtId="0" fontId="6" fillId="0" borderId="0"/>
    <xf numFmtId="0" fontId="9" fillId="0" borderId="0"/>
    <xf numFmtId="43" fontId="9" fillId="0" borderId="0" applyFont="0" applyFill="0" applyBorder="0" applyAlignment="0" applyProtection="0"/>
    <xf numFmtId="0" fontId="9" fillId="0" borderId="0"/>
    <xf numFmtId="0" fontId="9" fillId="0" borderId="0"/>
    <xf numFmtId="0" fontId="17" fillId="0" borderId="0"/>
    <xf numFmtId="0" fontId="9" fillId="0" borderId="0"/>
    <xf numFmtId="0" fontId="42" fillId="8" borderId="0" applyNumberFormat="0" applyBorder="0" applyAlignment="0" applyProtection="0">
      <alignment vertical="center"/>
    </xf>
    <xf numFmtId="0" fontId="17" fillId="0" borderId="0"/>
    <xf numFmtId="0" fontId="9" fillId="0" borderId="0"/>
    <xf numFmtId="0" fontId="9" fillId="0" borderId="0"/>
    <xf numFmtId="0" fontId="100" fillId="0" borderId="0"/>
    <xf numFmtId="0" fontId="9" fillId="0" borderId="0"/>
    <xf numFmtId="0" fontId="9" fillId="0" borderId="0"/>
    <xf numFmtId="0" fontId="17" fillId="0" borderId="0"/>
    <xf numFmtId="0" fontId="9" fillId="0" borderId="0"/>
    <xf numFmtId="0" fontId="5"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5" fillId="0" borderId="0"/>
    <xf numFmtId="0" fontId="17" fillId="0" borderId="0"/>
    <xf numFmtId="0" fontId="17" fillId="0" borderId="0"/>
    <xf numFmtId="0" fontId="9" fillId="0" borderId="0"/>
    <xf numFmtId="0" fontId="18" fillId="0" borderId="0"/>
    <xf numFmtId="0" fontId="18" fillId="0" borderId="0"/>
    <xf numFmtId="5" fontId="5"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7"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11" fillId="0" borderId="0" applyFont="0" applyFill="0" applyBorder="0" applyAlignment="0" applyProtection="0"/>
    <xf numFmtId="44" fontId="5" fillId="0" borderId="0" applyFont="0" applyFill="0" applyBorder="0" applyAlignment="0" applyProtection="0"/>
    <xf numFmtId="0" fontId="11" fillId="0" borderId="0"/>
    <xf numFmtId="0" fontId="24"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1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 fillId="0" borderId="0"/>
    <xf numFmtId="0" fontId="9" fillId="0" borderId="0"/>
    <xf numFmtId="0" fontId="9" fillId="0" borderId="0"/>
    <xf numFmtId="0" fontId="9" fillId="0" borderId="0"/>
    <xf numFmtId="0" fontId="9" fillId="0" borderId="0"/>
    <xf numFmtId="0" fontId="12" fillId="0" borderId="0"/>
    <xf numFmtId="0" fontId="9" fillId="0" borderId="0">
      <alignment wrapText="1"/>
    </xf>
    <xf numFmtId="0" fontId="22" fillId="0" borderId="0"/>
    <xf numFmtId="0" fontId="5" fillId="0" borderId="0"/>
    <xf numFmtId="0" fontId="9" fillId="0" borderId="0"/>
    <xf numFmtId="0" fontId="5" fillId="0" borderId="0"/>
    <xf numFmtId="0" fontId="12" fillId="0" borderId="0"/>
    <xf numFmtId="0" fontId="9" fillId="0" borderId="0"/>
    <xf numFmtId="0" fontId="20" fillId="0" borderId="0"/>
    <xf numFmtId="9" fontId="9" fillId="0" borderId="0" applyFont="0" applyFill="0" applyBorder="0" applyAlignment="0" applyProtection="0"/>
    <xf numFmtId="0" fontId="17" fillId="0" borderId="0"/>
    <xf numFmtId="0" fontId="21" fillId="6" borderId="0">
      <alignment horizontal="left"/>
    </xf>
    <xf numFmtId="0" fontId="21" fillId="7" borderId="0">
      <alignment horizontal="left"/>
    </xf>
    <xf numFmtId="0" fontId="5" fillId="0" borderId="0"/>
    <xf numFmtId="0" fontId="19" fillId="0" borderId="0"/>
    <xf numFmtId="0" fontId="9" fillId="0" borderId="0"/>
    <xf numFmtId="0" fontId="9" fillId="0" borderId="0"/>
    <xf numFmtId="0" fontId="9" fillId="0" borderId="0"/>
    <xf numFmtId="0" fontId="17" fillId="0" borderId="0"/>
    <xf numFmtId="0" fontId="9" fillId="0" borderId="0"/>
    <xf numFmtId="0" fontId="9" fillId="0" borderId="0"/>
    <xf numFmtId="0" fontId="9" fillId="0" borderId="0"/>
    <xf numFmtId="0" fontId="9" fillId="0" borderId="0"/>
    <xf numFmtId="0" fontId="9" fillId="0" borderId="0"/>
    <xf numFmtId="0" fontId="9" fillId="0" borderId="0"/>
    <xf numFmtId="0" fontId="42" fillId="9" borderId="0" applyNumberFormat="0" applyBorder="0" applyAlignment="0" applyProtection="0">
      <alignment vertical="center"/>
    </xf>
    <xf numFmtId="0" fontId="17" fillId="0" borderId="0"/>
    <xf numFmtId="0" fontId="9" fillId="0" borderId="0"/>
    <xf numFmtId="0" fontId="17" fillId="0" borderId="0"/>
    <xf numFmtId="0" fontId="9" fillId="0" borderId="0"/>
    <xf numFmtId="0" fontId="100" fillId="0" borderId="0"/>
    <xf numFmtId="0" fontId="9" fillId="0" borderId="0"/>
    <xf numFmtId="0" fontId="11" fillId="11" borderId="0" applyNumberFormat="0" applyBorder="0" applyAlignment="0" applyProtection="0"/>
    <xf numFmtId="0" fontId="100" fillId="0" borderId="0"/>
    <xf numFmtId="0" fontId="11" fillId="12" borderId="0" applyNumberFormat="0" applyBorder="0" applyAlignment="0" applyProtection="0"/>
    <xf numFmtId="0" fontId="100" fillId="0" borderId="0"/>
    <xf numFmtId="0" fontId="9" fillId="0" borderId="0"/>
    <xf numFmtId="0" fontId="42" fillId="11" borderId="0" applyNumberFormat="0" applyBorder="0" applyAlignment="0" applyProtection="0">
      <alignment vertical="center"/>
    </xf>
    <xf numFmtId="0" fontId="9" fillId="0" borderId="0"/>
    <xf numFmtId="0" fontId="42" fillId="13"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2" fillId="12" borderId="0" applyNumberFormat="0" applyBorder="0" applyAlignment="0" applyProtection="0">
      <alignment vertical="center"/>
    </xf>
    <xf numFmtId="0" fontId="9" fillId="0" borderId="0"/>
    <xf numFmtId="0" fontId="9" fillId="0" borderId="0"/>
    <xf numFmtId="0" fontId="9" fillId="0" borderId="0"/>
    <xf numFmtId="0" fontId="9" fillId="0" borderId="0"/>
    <xf numFmtId="0" fontId="11" fillId="8" borderId="0" applyNumberFormat="0" applyBorder="0" applyAlignment="0" applyProtection="0"/>
    <xf numFmtId="0" fontId="9" fillId="0" borderId="0"/>
    <xf numFmtId="0" fontId="9" fillId="0" borderId="0"/>
    <xf numFmtId="0" fontId="9" fillId="0" borderId="0"/>
    <xf numFmtId="0" fontId="11" fillId="10" borderId="0" applyNumberFormat="0" applyBorder="0" applyAlignment="0" applyProtection="0"/>
    <xf numFmtId="0" fontId="9" fillId="0" borderId="0"/>
    <xf numFmtId="0" fontId="17" fillId="0" borderId="0"/>
    <xf numFmtId="0" fontId="42" fillId="10" borderId="0" applyNumberFormat="0" applyBorder="0" applyAlignment="0" applyProtection="0">
      <alignment vertical="center"/>
    </xf>
    <xf numFmtId="0" fontId="9" fillId="0" borderId="0"/>
    <xf numFmtId="0" fontId="9" fillId="0" borderId="0"/>
    <xf numFmtId="0" fontId="9" fillId="0" borderId="0"/>
    <xf numFmtId="0" fontId="11" fillId="9"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 fillId="13" borderId="0" applyNumberFormat="0" applyBorder="0" applyAlignment="0" applyProtection="0"/>
    <xf numFmtId="0" fontId="43" fillId="8" borderId="0" applyNumberFormat="0" applyBorder="0" applyAlignment="0" applyProtection="0">
      <alignment vertical="center"/>
    </xf>
    <xf numFmtId="0" fontId="43" fillId="8" borderId="0" applyNumberFormat="0" applyBorder="0" applyAlignment="0" applyProtection="0">
      <alignment vertical="center"/>
    </xf>
    <xf numFmtId="0" fontId="42" fillId="8" borderId="0" applyNumberFormat="0" applyBorder="0" applyAlignment="0" applyProtection="0">
      <alignment vertical="center"/>
    </xf>
    <xf numFmtId="0" fontId="43" fillId="8" borderId="0" applyNumberFormat="0" applyBorder="0" applyAlignment="0" applyProtection="0">
      <alignment vertical="center"/>
    </xf>
    <xf numFmtId="0" fontId="44" fillId="8" borderId="0" applyNumberFormat="0" applyBorder="0" applyAlignment="0" applyProtection="0">
      <alignment vertical="center"/>
    </xf>
    <xf numFmtId="0" fontId="43" fillId="8" borderId="0" applyNumberFormat="0" applyBorder="0" applyAlignment="0" applyProtection="0">
      <alignment vertical="center"/>
    </xf>
    <xf numFmtId="0" fontId="43" fillId="8" borderId="0" applyNumberFormat="0" applyBorder="0" applyAlignment="0" applyProtection="0">
      <alignment vertical="center"/>
    </xf>
    <xf numFmtId="0" fontId="43" fillId="8" borderId="0" applyNumberFormat="0" applyBorder="0" applyAlignment="0" applyProtection="0">
      <alignment vertical="center"/>
    </xf>
    <xf numFmtId="0" fontId="43" fillId="8" borderId="0" applyNumberFormat="0" applyBorder="0" applyAlignment="0" applyProtection="0">
      <alignment vertical="center"/>
    </xf>
    <xf numFmtId="0" fontId="43" fillId="8" borderId="0" applyNumberFormat="0" applyBorder="0" applyAlignment="0" applyProtection="0">
      <alignment vertical="center"/>
    </xf>
    <xf numFmtId="0" fontId="43" fillId="8" borderId="0" applyNumberFormat="0" applyBorder="0" applyAlignment="0" applyProtection="0">
      <alignment vertical="center"/>
    </xf>
    <xf numFmtId="0" fontId="43" fillId="8" borderId="0" applyNumberFormat="0" applyBorder="0" applyAlignment="0" applyProtection="0">
      <alignment vertical="center"/>
    </xf>
    <xf numFmtId="0" fontId="43" fillId="8"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2" fillId="9" borderId="0" applyNumberFormat="0" applyBorder="0" applyAlignment="0" applyProtection="0">
      <alignment vertical="center"/>
    </xf>
    <xf numFmtId="0" fontId="43" fillId="9" borderId="0" applyNumberFormat="0" applyBorder="0" applyAlignment="0" applyProtection="0">
      <alignment vertical="center"/>
    </xf>
    <xf numFmtId="0" fontId="44" fillId="9"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9" borderId="0" applyNumberFormat="0" applyBorder="0" applyAlignment="0" applyProtection="0">
      <alignment vertical="center"/>
    </xf>
    <xf numFmtId="0" fontId="43" fillId="10" borderId="0" applyNumberFormat="0" applyBorder="0" applyAlignment="0" applyProtection="0">
      <alignment vertical="center"/>
    </xf>
    <xf numFmtId="0" fontId="43" fillId="10" borderId="0" applyNumberFormat="0" applyBorder="0" applyAlignment="0" applyProtection="0">
      <alignment vertical="center"/>
    </xf>
    <xf numFmtId="0" fontId="42" fillId="10" borderId="0" applyNumberFormat="0" applyBorder="0" applyAlignment="0" applyProtection="0">
      <alignment vertical="center"/>
    </xf>
    <xf numFmtId="0" fontId="43" fillId="10" borderId="0" applyNumberFormat="0" applyBorder="0" applyAlignment="0" applyProtection="0">
      <alignment vertical="center"/>
    </xf>
    <xf numFmtId="0" fontId="44" fillId="10" borderId="0" applyNumberFormat="0" applyBorder="0" applyAlignment="0" applyProtection="0">
      <alignment vertical="center"/>
    </xf>
    <xf numFmtId="0" fontId="43" fillId="10" borderId="0" applyNumberFormat="0" applyBorder="0" applyAlignment="0" applyProtection="0">
      <alignment vertical="center"/>
    </xf>
    <xf numFmtId="0" fontId="43" fillId="10" borderId="0" applyNumberFormat="0" applyBorder="0" applyAlignment="0" applyProtection="0">
      <alignment vertical="center"/>
    </xf>
    <xf numFmtId="0" fontId="43" fillId="10" borderId="0" applyNumberFormat="0" applyBorder="0" applyAlignment="0" applyProtection="0">
      <alignment vertical="center"/>
    </xf>
    <xf numFmtId="0" fontId="43" fillId="10" borderId="0" applyNumberFormat="0" applyBorder="0" applyAlignment="0" applyProtection="0">
      <alignment vertical="center"/>
    </xf>
    <xf numFmtId="0" fontId="43" fillId="10" borderId="0" applyNumberFormat="0" applyBorder="0" applyAlignment="0" applyProtection="0">
      <alignment vertical="center"/>
    </xf>
    <xf numFmtId="0" fontId="43" fillId="10" borderId="0" applyNumberFormat="0" applyBorder="0" applyAlignment="0" applyProtection="0">
      <alignment vertical="center"/>
    </xf>
    <xf numFmtId="0" fontId="43" fillId="10" borderId="0" applyNumberFormat="0" applyBorder="0" applyAlignment="0" applyProtection="0">
      <alignment vertical="center"/>
    </xf>
    <xf numFmtId="0" fontId="43" fillId="10"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2" fillId="11" borderId="0" applyNumberFormat="0" applyBorder="0" applyAlignment="0" applyProtection="0">
      <alignment vertical="center"/>
    </xf>
    <xf numFmtId="0" fontId="43" fillId="11" borderId="0" applyNumberFormat="0" applyBorder="0" applyAlignment="0" applyProtection="0">
      <alignment vertical="center"/>
    </xf>
    <xf numFmtId="0" fontId="44"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2" fillId="12" borderId="0" applyNumberFormat="0" applyBorder="0" applyAlignment="0" applyProtection="0">
      <alignment vertical="center"/>
    </xf>
    <xf numFmtId="0" fontId="43" fillId="12" borderId="0" applyNumberFormat="0" applyBorder="0" applyAlignment="0" applyProtection="0">
      <alignment vertical="center"/>
    </xf>
    <xf numFmtId="0" fontId="44" fillId="12"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3" fillId="13" borderId="0" applyNumberFormat="0" applyBorder="0" applyAlignment="0" applyProtection="0">
      <alignment vertical="center"/>
    </xf>
    <xf numFmtId="0" fontId="43" fillId="13" borderId="0" applyNumberFormat="0" applyBorder="0" applyAlignment="0" applyProtection="0">
      <alignment vertical="center"/>
    </xf>
    <xf numFmtId="0" fontId="42" fillId="13" borderId="0" applyNumberFormat="0" applyBorder="0" applyAlignment="0" applyProtection="0">
      <alignment vertical="center"/>
    </xf>
    <xf numFmtId="0" fontId="43" fillId="13" borderId="0" applyNumberFormat="0" applyBorder="0" applyAlignment="0" applyProtection="0">
      <alignment vertical="center"/>
    </xf>
    <xf numFmtId="0" fontId="44" fillId="13" borderId="0" applyNumberFormat="0" applyBorder="0" applyAlignment="0" applyProtection="0">
      <alignment vertical="center"/>
    </xf>
    <xf numFmtId="0" fontId="43" fillId="13" borderId="0" applyNumberFormat="0" applyBorder="0" applyAlignment="0" applyProtection="0">
      <alignment vertical="center"/>
    </xf>
    <xf numFmtId="0" fontId="43" fillId="13" borderId="0" applyNumberFormat="0" applyBorder="0" applyAlignment="0" applyProtection="0">
      <alignment vertical="center"/>
    </xf>
    <xf numFmtId="0" fontId="43" fillId="13" borderId="0" applyNumberFormat="0" applyBorder="0" applyAlignment="0" applyProtection="0">
      <alignment vertical="center"/>
    </xf>
    <xf numFmtId="0" fontId="43" fillId="13" borderId="0" applyNumberFormat="0" applyBorder="0" applyAlignment="0" applyProtection="0">
      <alignment vertical="center"/>
    </xf>
    <xf numFmtId="0" fontId="43" fillId="13" borderId="0" applyNumberFormat="0" applyBorder="0" applyAlignment="0" applyProtection="0">
      <alignment vertical="center"/>
    </xf>
    <xf numFmtId="0" fontId="43" fillId="13" borderId="0" applyNumberFormat="0" applyBorder="0" applyAlignment="0" applyProtection="0">
      <alignment vertical="center"/>
    </xf>
    <xf numFmtId="0" fontId="43" fillId="13" borderId="0" applyNumberFormat="0" applyBorder="0" applyAlignment="0" applyProtection="0">
      <alignment vertical="center"/>
    </xf>
    <xf numFmtId="0" fontId="43" fillId="13" borderId="0" applyNumberFormat="0" applyBorder="0" applyAlignment="0" applyProtection="0">
      <alignment vertical="center"/>
    </xf>
    <xf numFmtId="0" fontId="42" fillId="14" borderId="0" applyNumberFormat="0" applyBorder="0" applyAlignment="0" applyProtection="0">
      <alignment vertical="center"/>
    </xf>
    <xf numFmtId="0" fontId="11" fillId="14" borderId="0" applyNumberFormat="0" applyBorder="0" applyAlignment="0" applyProtection="0"/>
    <xf numFmtId="0" fontId="42" fillId="15" borderId="0" applyNumberFormat="0" applyBorder="0" applyAlignment="0" applyProtection="0">
      <alignment vertical="center"/>
    </xf>
    <xf numFmtId="0" fontId="11" fillId="15" borderId="0" applyNumberFormat="0" applyBorder="0" applyAlignment="0" applyProtection="0"/>
    <xf numFmtId="0" fontId="42" fillId="16" borderId="0" applyNumberFormat="0" applyBorder="0" applyAlignment="0" applyProtection="0">
      <alignment vertical="center"/>
    </xf>
    <xf numFmtId="0" fontId="11" fillId="16" borderId="0" applyNumberFormat="0" applyBorder="0" applyAlignment="0" applyProtection="0"/>
    <xf numFmtId="0" fontId="42" fillId="11" borderId="0" applyNumberFormat="0" applyBorder="0" applyAlignment="0" applyProtection="0">
      <alignment vertical="center"/>
    </xf>
    <xf numFmtId="0" fontId="11" fillId="11" borderId="0" applyNumberFormat="0" applyBorder="0" applyAlignment="0" applyProtection="0"/>
    <xf numFmtId="0" fontId="42" fillId="14" borderId="0" applyNumberFormat="0" applyBorder="0" applyAlignment="0" applyProtection="0">
      <alignment vertical="center"/>
    </xf>
    <xf numFmtId="0" fontId="11" fillId="14" borderId="0" applyNumberFormat="0" applyBorder="0" applyAlignment="0" applyProtection="0"/>
    <xf numFmtId="0" fontId="42" fillId="17" borderId="0" applyNumberFormat="0" applyBorder="0" applyAlignment="0" applyProtection="0">
      <alignment vertical="center"/>
    </xf>
    <xf numFmtId="0" fontId="11" fillId="17" borderId="0" applyNumberFormat="0" applyBorder="0" applyAlignment="0" applyProtection="0"/>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2" fillId="14" borderId="0" applyNumberFormat="0" applyBorder="0" applyAlignment="0" applyProtection="0">
      <alignment vertical="center"/>
    </xf>
    <xf numFmtId="0" fontId="43" fillId="14" borderId="0" applyNumberFormat="0" applyBorder="0" applyAlignment="0" applyProtection="0">
      <alignment vertical="center"/>
    </xf>
    <xf numFmtId="0" fontId="44"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15" borderId="0" applyNumberFormat="0" applyBorder="0" applyAlignment="0" applyProtection="0">
      <alignment vertical="center"/>
    </xf>
    <xf numFmtId="0" fontId="42" fillId="15" borderId="0" applyNumberFormat="0" applyBorder="0" applyAlignment="0" applyProtection="0">
      <alignment vertical="center"/>
    </xf>
    <xf numFmtId="0" fontId="43" fillId="15" borderId="0" applyNumberFormat="0" applyBorder="0" applyAlignment="0" applyProtection="0">
      <alignment vertical="center"/>
    </xf>
    <xf numFmtId="0" fontId="44" fillId="15" borderId="0" applyNumberFormat="0" applyBorder="0" applyAlignment="0" applyProtection="0">
      <alignment vertical="center"/>
    </xf>
    <xf numFmtId="0" fontId="43" fillId="15" borderId="0" applyNumberFormat="0" applyBorder="0" applyAlignment="0" applyProtection="0">
      <alignment vertical="center"/>
    </xf>
    <xf numFmtId="0" fontId="43" fillId="15" borderId="0" applyNumberFormat="0" applyBorder="0" applyAlignment="0" applyProtection="0">
      <alignment vertical="center"/>
    </xf>
    <xf numFmtId="0" fontId="43" fillId="15" borderId="0" applyNumberFormat="0" applyBorder="0" applyAlignment="0" applyProtection="0">
      <alignment vertical="center"/>
    </xf>
    <xf numFmtId="0" fontId="43" fillId="15" borderId="0" applyNumberFormat="0" applyBorder="0" applyAlignment="0" applyProtection="0">
      <alignment vertical="center"/>
    </xf>
    <xf numFmtId="0" fontId="43" fillId="15" borderId="0" applyNumberFormat="0" applyBorder="0" applyAlignment="0" applyProtection="0">
      <alignment vertical="center"/>
    </xf>
    <xf numFmtId="0" fontId="43" fillId="15" borderId="0" applyNumberFormat="0" applyBorder="0" applyAlignment="0" applyProtection="0">
      <alignment vertical="center"/>
    </xf>
    <xf numFmtId="0" fontId="43" fillId="15"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6" borderId="0" applyNumberFormat="0" applyBorder="0" applyAlignment="0" applyProtection="0">
      <alignment vertical="center"/>
    </xf>
    <xf numFmtId="0" fontId="42" fillId="16" borderId="0" applyNumberFormat="0" applyBorder="0" applyAlignment="0" applyProtection="0">
      <alignment vertical="center"/>
    </xf>
    <xf numFmtId="0" fontId="43" fillId="16" borderId="0" applyNumberFormat="0" applyBorder="0" applyAlignment="0" applyProtection="0">
      <alignment vertical="center"/>
    </xf>
    <xf numFmtId="0" fontId="44" fillId="16" borderId="0" applyNumberFormat="0" applyBorder="0" applyAlignment="0" applyProtection="0">
      <alignment vertical="center"/>
    </xf>
    <xf numFmtId="0" fontId="43" fillId="16" borderId="0" applyNumberFormat="0" applyBorder="0" applyAlignment="0" applyProtection="0">
      <alignment vertical="center"/>
    </xf>
    <xf numFmtId="0" fontId="43" fillId="16" borderId="0" applyNumberFormat="0" applyBorder="0" applyAlignment="0" applyProtection="0">
      <alignment vertical="center"/>
    </xf>
    <xf numFmtId="0" fontId="43" fillId="16" borderId="0" applyNumberFormat="0" applyBorder="0" applyAlignment="0" applyProtection="0">
      <alignment vertical="center"/>
    </xf>
    <xf numFmtId="0" fontId="43" fillId="16" borderId="0" applyNumberFormat="0" applyBorder="0" applyAlignment="0" applyProtection="0">
      <alignment vertical="center"/>
    </xf>
    <xf numFmtId="0" fontId="43" fillId="16" borderId="0" applyNumberFormat="0" applyBorder="0" applyAlignment="0" applyProtection="0">
      <alignment vertical="center"/>
    </xf>
    <xf numFmtId="0" fontId="43" fillId="16" borderId="0" applyNumberFormat="0" applyBorder="0" applyAlignment="0" applyProtection="0">
      <alignment vertical="center"/>
    </xf>
    <xf numFmtId="0" fontId="43" fillId="16" borderId="0" applyNumberFormat="0" applyBorder="0" applyAlignment="0" applyProtection="0">
      <alignment vertical="center"/>
    </xf>
    <xf numFmtId="0" fontId="43" fillId="16"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2" fillId="11" borderId="0" applyNumberFormat="0" applyBorder="0" applyAlignment="0" applyProtection="0">
      <alignment vertical="center"/>
    </xf>
    <xf numFmtId="0" fontId="43" fillId="11" borderId="0" applyNumberFormat="0" applyBorder="0" applyAlignment="0" applyProtection="0">
      <alignment vertical="center"/>
    </xf>
    <xf numFmtId="0" fontId="44"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2" fillId="14" borderId="0" applyNumberFormat="0" applyBorder="0" applyAlignment="0" applyProtection="0">
      <alignment vertical="center"/>
    </xf>
    <xf numFmtId="0" fontId="43" fillId="14" borderId="0" applyNumberFormat="0" applyBorder="0" applyAlignment="0" applyProtection="0">
      <alignment vertical="center"/>
    </xf>
    <xf numFmtId="0" fontId="44"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4" borderId="0" applyNumberFormat="0" applyBorder="0" applyAlignment="0" applyProtection="0">
      <alignment vertical="center"/>
    </xf>
    <xf numFmtId="0" fontId="43" fillId="17" borderId="0" applyNumberFormat="0" applyBorder="0" applyAlignment="0" applyProtection="0">
      <alignment vertical="center"/>
    </xf>
    <xf numFmtId="0" fontId="43" fillId="17" borderId="0" applyNumberFormat="0" applyBorder="0" applyAlignment="0" applyProtection="0">
      <alignment vertical="center"/>
    </xf>
    <xf numFmtId="0" fontId="42" fillId="17" borderId="0" applyNumberFormat="0" applyBorder="0" applyAlignment="0" applyProtection="0">
      <alignment vertical="center"/>
    </xf>
    <xf numFmtId="0" fontId="43" fillId="17" borderId="0" applyNumberFormat="0" applyBorder="0" applyAlignment="0" applyProtection="0">
      <alignment vertical="center"/>
    </xf>
    <xf numFmtId="0" fontId="44" fillId="17" borderId="0" applyNumberFormat="0" applyBorder="0" applyAlignment="0" applyProtection="0">
      <alignment vertical="center"/>
    </xf>
    <xf numFmtId="0" fontId="43" fillId="17" borderId="0" applyNumberFormat="0" applyBorder="0" applyAlignment="0" applyProtection="0">
      <alignment vertical="center"/>
    </xf>
    <xf numFmtId="0" fontId="43" fillId="17" borderId="0" applyNumberFormat="0" applyBorder="0" applyAlignment="0" applyProtection="0">
      <alignment vertical="center"/>
    </xf>
    <xf numFmtId="0" fontId="43" fillId="17" borderId="0" applyNumberFormat="0" applyBorder="0" applyAlignment="0" applyProtection="0">
      <alignment vertical="center"/>
    </xf>
    <xf numFmtId="0" fontId="43" fillId="17" borderId="0" applyNumberFormat="0" applyBorder="0" applyAlignment="0" applyProtection="0">
      <alignment vertical="center"/>
    </xf>
    <xf numFmtId="0" fontId="43" fillId="17" borderId="0" applyNumberFormat="0" applyBorder="0" applyAlignment="0" applyProtection="0">
      <alignment vertical="center"/>
    </xf>
    <xf numFmtId="0" fontId="43" fillId="17" borderId="0" applyNumberFormat="0" applyBorder="0" applyAlignment="0" applyProtection="0">
      <alignment vertical="center"/>
    </xf>
    <xf numFmtId="0" fontId="43" fillId="17" borderId="0" applyNumberFormat="0" applyBorder="0" applyAlignment="0" applyProtection="0">
      <alignment vertical="center"/>
    </xf>
    <xf numFmtId="0" fontId="43" fillId="17" borderId="0" applyNumberFormat="0" applyBorder="0" applyAlignment="0" applyProtection="0">
      <alignment vertical="center"/>
    </xf>
    <xf numFmtId="0" fontId="45" fillId="18" borderId="0" applyNumberFormat="0" applyBorder="0" applyAlignment="0" applyProtection="0">
      <alignment vertical="center"/>
    </xf>
    <xf numFmtId="0" fontId="15" fillId="18" borderId="0" applyNumberFormat="0" applyBorder="0" applyAlignment="0" applyProtection="0"/>
    <xf numFmtId="0" fontId="45" fillId="15" borderId="0" applyNumberFormat="0" applyBorder="0" applyAlignment="0" applyProtection="0">
      <alignment vertical="center"/>
    </xf>
    <xf numFmtId="0" fontId="15" fillId="15" borderId="0" applyNumberFormat="0" applyBorder="0" applyAlignment="0" applyProtection="0"/>
    <xf numFmtId="0" fontId="45" fillId="16" borderId="0" applyNumberFormat="0" applyBorder="0" applyAlignment="0" applyProtection="0">
      <alignment vertical="center"/>
    </xf>
    <xf numFmtId="0" fontId="15" fillId="16" borderId="0" applyNumberFormat="0" applyBorder="0" applyAlignment="0" applyProtection="0"/>
    <xf numFmtId="0" fontId="45" fillId="19" borderId="0" applyNumberFormat="0" applyBorder="0" applyAlignment="0" applyProtection="0">
      <alignment vertical="center"/>
    </xf>
    <xf numFmtId="0" fontId="15" fillId="19" borderId="0" applyNumberFormat="0" applyBorder="0" applyAlignment="0" applyProtection="0"/>
    <xf numFmtId="0" fontId="45" fillId="20" borderId="0" applyNumberFormat="0" applyBorder="0" applyAlignment="0" applyProtection="0">
      <alignment vertical="center"/>
    </xf>
    <xf numFmtId="0" fontId="15" fillId="20" borderId="0" applyNumberFormat="0" applyBorder="0" applyAlignment="0" applyProtection="0"/>
    <xf numFmtId="0" fontId="45" fillId="21" borderId="0" applyNumberFormat="0" applyBorder="0" applyAlignment="0" applyProtection="0">
      <alignment vertical="center"/>
    </xf>
    <xf numFmtId="0" fontId="15" fillId="21" borderId="0" applyNumberFormat="0" applyBorder="0" applyAlignment="0" applyProtection="0"/>
    <xf numFmtId="0" fontId="46" fillId="18" borderId="0" applyNumberFormat="0" applyBorder="0" applyAlignment="0" applyProtection="0">
      <alignment vertical="center"/>
    </xf>
    <xf numFmtId="0" fontId="46" fillId="18" borderId="0" applyNumberFormat="0" applyBorder="0" applyAlignment="0" applyProtection="0">
      <alignment vertical="center"/>
    </xf>
    <xf numFmtId="0" fontId="45" fillId="18" borderId="0" applyNumberFormat="0" applyBorder="0" applyAlignment="0" applyProtection="0">
      <alignment vertical="center"/>
    </xf>
    <xf numFmtId="0" fontId="46" fillId="18" borderId="0" applyNumberFormat="0" applyBorder="0" applyAlignment="0" applyProtection="0">
      <alignment vertical="center"/>
    </xf>
    <xf numFmtId="0" fontId="47" fillId="18" borderId="0" applyNumberFormat="0" applyBorder="0" applyAlignment="0" applyProtection="0">
      <alignment vertical="center"/>
    </xf>
    <xf numFmtId="0" fontId="46" fillId="18" borderId="0" applyNumberFormat="0" applyBorder="0" applyAlignment="0" applyProtection="0">
      <alignment vertical="center"/>
    </xf>
    <xf numFmtId="0" fontId="46" fillId="18" borderId="0" applyNumberFormat="0" applyBorder="0" applyAlignment="0" applyProtection="0">
      <alignment vertical="center"/>
    </xf>
    <xf numFmtId="0" fontId="46" fillId="18" borderId="0" applyNumberFormat="0" applyBorder="0" applyAlignment="0" applyProtection="0">
      <alignment vertical="center"/>
    </xf>
    <xf numFmtId="0" fontId="46" fillId="18" borderId="0" applyNumberFormat="0" applyBorder="0" applyAlignment="0" applyProtection="0">
      <alignment vertical="center"/>
    </xf>
    <xf numFmtId="0" fontId="46" fillId="18" borderId="0" applyNumberFormat="0" applyBorder="0" applyAlignment="0" applyProtection="0">
      <alignment vertical="center"/>
    </xf>
    <xf numFmtId="0" fontId="46" fillId="18" borderId="0" applyNumberFormat="0" applyBorder="0" applyAlignment="0" applyProtection="0">
      <alignment vertical="center"/>
    </xf>
    <xf numFmtId="0" fontId="46" fillId="18" borderId="0" applyNumberFormat="0" applyBorder="0" applyAlignment="0" applyProtection="0">
      <alignment vertical="center"/>
    </xf>
    <xf numFmtId="0" fontId="46" fillId="18"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45" fillId="15" borderId="0" applyNumberFormat="0" applyBorder="0" applyAlignment="0" applyProtection="0">
      <alignment vertical="center"/>
    </xf>
    <xf numFmtId="0" fontId="46" fillId="15" borderId="0" applyNumberFormat="0" applyBorder="0" applyAlignment="0" applyProtection="0">
      <alignment vertical="center"/>
    </xf>
    <xf numFmtId="0" fontId="47" fillId="15"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6" borderId="0" applyNumberFormat="0" applyBorder="0" applyAlignment="0" applyProtection="0">
      <alignment vertical="center"/>
    </xf>
    <xf numFmtId="0" fontId="45" fillId="16" borderId="0" applyNumberFormat="0" applyBorder="0" applyAlignment="0" applyProtection="0">
      <alignment vertical="center"/>
    </xf>
    <xf numFmtId="0" fontId="46" fillId="16" borderId="0" applyNumberFormat="0" applyBorder="0" applyAlignment="0" applyProtection="0">
      <alignment vertical="center"/>
    </xf>
    <xf numFmtId="0" fontId="47" fillId="16" borderId="0" applyNumberFormat="0" applyBorder="0" applyAlignment="0" applyProtection="0">
      <alignment vertical="center"/>
    </xf>
    <xf numFmtId="0" fontId="46" fillId="16" borderId="0" applyNumberFormat="0" applyBorder="0" applyAlignment="0" applyProtection="0">
      <alignment vertical="center"/>
    </xf>
    <xf numFmtId="0" fontId="46" fillId="16" borderId="0" applyNumberFormat="0" applyBorder="0" applyAlignment="0" applyProtection="0">
      <alignment vertical="center"/>
    </xf>
    <xf numFmtId="0" fontId="46" fillId="16" borderId="0" applyNumberFormat="0" applyBorder="0" applyAlignment="0" applyProtection="0">
      <alignment vertical="center"/>
    </xf>
    <xf numFmtId="0" fontId="46" fillId="16" borderId="0" applyNumberFormat="0" applyBorder="0" applyAlignment="0" applyProtection="0">
      <alignment vertical="center"/>
    </xf>
    <xf numFmtId="0" fontId="46" fillId="16" borderId="0" applyNumberFormat="0" applyBorder="0" applyAlignment="0" applyProtection="0">
      <alignment vertical="center"/>
    </xf>
    <xf numFmtId="0" fontId="46" fillId="16" borderId="0" applyNumberFormat="0" applyBorder="0" applyAlignment="0" applyProtection="0">
      <alignment vertical="center"/>
    </xf>
    <xf numFmtId="0" fontId="46" fillId="16"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5" fillId="19" borderId="0" applyNumberFormat="0" applyBorder="0" applyAlignment="0" applyProtection="0">
      <alignment vertical="center"/>
    </xf>
    <xf numFmtId="0" fontId="46" fillId="19" borderId="0" applyNumberFormat="0" applyBorder="0" applyAlignment="0" applyProtection="0">
      <alignment vertical="center"/>
    </xf>
    <xf numFmtId="0" fontId="47"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5" fillId="20" borderId="0" applyNumberFormat="0" applyBorder="0" applyAlignment="0" applyProtection="0">
      <alignment vertical="center"/>
    </xf>
    <xf numFmtId="0" fontId="46" fillId="20" borderId="0" applyNumberFormat="0" applyBorder="0" applyAlignment="0" applyProtection="0">
      <alignment vertical="center"/>
    </xf>
    <xf numFmtId="0" fontId="47"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6" fillId="21" borderId="0" applyNumberFormat="0" applyBorder="0" applyAlignment="0" applyProtection="0">
      <alignment vertical="center"/>
    </xf>
    <xf numFmtId="0" fontId="45" fillId="21" borderId="0" applyNumberFormat="0" applyBorder="0" applyAlignment="0" applyProtection="0">
      <alignment vertical="center"/>
    </xf>
    <xf numFmtId="0" fontId="46" fillId="21" borderId="0" applyNumberFormat="0" applyBorder="0" applyAlignment="0" applyProtection="0">
      <alignment vertical="center"/>
    </xf>
    <xf numFmtId="0" fontId="47" fillId="21" borderId="0" applyNumberFormat="0" applyBorder="0" applyAlignment="0" applyProtection="0">
      <alignment vertical="center"/>
    </xf>
    <xf numFmtId="0" fontId="46" fillId="21" borderId="0" applyNumberFormat="0" applyBorder="0" applyAlignment="0" applyProtection="0">
      <alignment vertical="center"/>
    </xf>
    <xf numFmtId="0" fontId="46" fillId="21" borderId="0" applyNumberFormat="0" applyBorder="0" applyAlignment="0" applyProtection="0">
      <alignment vertical="center"/>
    </xf>
    <xf numFmtId="0" fontId="46" fillId="21" borderId="0" applyNumberFormat="0" applyBorder="0" applyAlignment="0" applyProtection="0">
      <alignment vertical="center"/>
    </xf>
    <xf numFmtId="0" fontId="46" fillId="21" borderId="0" applyNumberFormat="0" applyBorder="0" applyAlignment="0" applyProtection="0">
      <alignment vertical="center"/>
    </xf>
    <xf numFmtId="0" fontId="46" fillId="21" borderId="0" applyNumberFormat="0" applyBorder="0" applyAlignment="0" applyProtection="0">
      <alignment vertical="center"/>
    </xf>
    <xf numFmtId="0" fontId="46" fillId="21" borderId="0" applyNumberFormat="0" applyBorder="0" applyAlignment="0" applyProtection="0">
      <alignment vertical="center"/>
    </xf>
    <xf numFmtId="0" fontId="46" fillId="21"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15" fillId="22" borderId="0" applyNumberFormat="0" applyBorder="0" applyAlignment="0" applyProtection="0"/>
    <xf numFmtId="0" fontId="45" fillId="23" borderId="0" applyNumberFormat="0" applyBorder="0" applyAlignment="0" applyProtection="0">
      <alignment vertical="center"/>
    </xf>
    <xf numFmtId="0" fontId="15" fillId="23" borderId="0" applyNumberFormat="0" applyBorder="0" applyAlignment="0" applyProtection="0"/>
    <xf numFmtId="0" fontId="45" fillId="24" borderId="0" applyNumberFormat="0" applyBorder="0" applyAlignment="0" applyProtection="0">
      <alignment vertical="center"/>
    </xf>
    <xf numFmtId="0" fontId="15" fillId="24" borderId="0" applyNumberFormat="0" applyBorder="0" applyAlignment="0" applyProtection="0"/>
    <xf numFmtId="0" fontId="45" fillId="19" borderId="0" applyNumberFormat="0" applyBorder="0" applyAlignment="0" applyProtection="0">
      <alignment vertical="center"/>
    </xf>
    <xf numFmtId="0" fontId="15" fillId="19" borderId="0" applyNumberFormat="0" applyBorder="0" applyAlignment="0" applyProtection="0"/>
    <xf numFmtId="0" fontId="45" fillId="20" borderId="0" applyNumberFormat="0" applyBorder="0" applyAlignment="0" applyProtection="0">
      <alignment vertical="center"/>
    </xf>
    <xf numFmtId="0" fontId="15" fillId="20" borderId="0" applyNumberFormat="0" applyBorder="0" applyAlignment="0" applyProtection="0"/>
    <xf numFmtId="0" fontId="45" fillId="25" borderId="0" applyNumberFormat="0" applyBorder="0" applyAlignment="0" applyProtection="0">
      <alignment vertical="center"/>
    </xf>
    <xf numFmtId="0" fontId="15" fillId="25" borderId="0" applyNumberFormat="0" applyBorder="0" applyAlignment="0" applyProtection="0"/>
    <xf numFmtId="0" fontId="48" fillId="9" borderId="0" applyNumberFormat="0" applyBorder="0" applyAlignment="0" applyProtection="0">
      <alignment vertical="center"/>
    </xf>
    <xf numFmtId="0" fontId="27" fillId="9" borderId="0" applyNumberFormat="0" applyBorder="0" applyAlignment="0" applyProtection="0"/>
    <xf numFmtId="0" fontId="28" fillId="26" borderId="4" applyNumberFormat="0" applyAlignment="0" applyProtection="0"/>
    <xf numFmtId="0" fontId="49" fillId="26" borderId="4" applyNumberFormat="0" applyAlignment="0" applyProtection="0">
      <alignment vertical="center"/>
    </xf>
    <xf numFmtId="0" fontId="28" fillId="26" borderId="4" applyNumberFormat="0" applyAlignment="0" applyProtection="0"/>
    <xf numFmtId="0" fontId="50" fillId="27" borderId="5" applyNumberFormat="0" applyAlignment="0" applyProtection="0">
      <alignment vertical="center"/>
    </xf>
    <xf numFmtId="0" fontId="29" fillId="27" borderId="5" applyNumberFormat="0" applyAlignment="0" applyProtection="0"/>
    <xf numFmtId="5" fontId="11"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11"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0" fontId="9"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0" fontId="9" fillId="0" borderId="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7" fontId="9" fillId="0" borderId="0" applyFont="0" applyFill="0" applyBorder="0" applyAlignment="0" applyProtection="0"/>
    <xf numFmtId="7" fontId="9" fillId="0" borderId="0" applyFont="0" applyFill="0" applyBorder="0" applyAlignment="0" applyProtection="0"/>
    <xf numFmtId="7" fontId="9" fillId="0" borderId="0" applyFont="0" applyFill="0" applyBorder="0" applyAlignment="0" applyProtection="0"/>
    <xf numFmtId="7"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0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3" fontId="9" fillId="0" borderId="0" applyFont="0" applyFill="0" applyBorder="0" applyAlignment="0" applyProtection="0"/>
    <xf numFmtId="0" fontId="29" fillId="27" borderId="5" applyNumberFormat="0" applyAlignment="0" applyProtection="0"/>
    <xf numFmtId="41" fontId="9" fillId="0" borderId="0" applyFont="0" applyFill="0" applyBorder="0" applyAlignment="0" applyProtection="0"/>
    <xf numFmtId="167" fontId="26" fillId="0" borderId="0" applyFont="0" applyFill="0" applyBorder="0" applyAlignment="0" applyProtection="0"/>
    <xf numFmtId="167" fontId="26" fillId="0" borderId="0" applyFont="0" applyFill="0" applyBorder="0" applyAlignment="0" applyProtection="0"/>
    <xf numFmtId="44" fontId="11" fillId="0" borderId="0" applyFont="0" applyFill="0" applyBorder="0" applyAlignment="0" applyProtection="0"/>
    <xf numFmtId="167" fontId="26" fillId="0" borderId="0" applyFont="0" applyFill="0" applyBorder="0" applyAlignment="0" applyProtection="0"/>
    <xf numFmtId="167" fontId="26" fillId="0" borderId="0" applyFont="0" applyFill="0" applyBorder="0" applyAlignment="0" applyProtection="0"/>
    <xf numFmtId="167" fontId="26" fillId="0" borderId="0" applyFont="0" applyFill="0" applyBorder="0" applyAlignment="0" applyProtection="0"/>
    <xf numFmtId="167" fontId="2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9" fillId="0" borderId="0" applyFont="0" applyFill="0" applyBorder="0" applyAlignment="0" applyProtection="0"/>
    <xf numFmtId="44" fontId="9" fillId="0" borderId="0" applyFill="0" applyBorder="0" applyAlignment="0" applyProtection="0"/>
    <xf numFmtId="166" fontId="11" fillId="0" borderId="0" applyFont="0" applyFill="0" applyBorder="0" applyAlignment="0" applyProtection="0"/>
    <xf numFmtId="181" fontId="9" fillId="0" borderId="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7" fontId="26" fillId="0" borderId="0" applyFont="0" applyFill="0" applyBorder="0" applyAlignment="0" applyProtection="0">
      <alignment vertical="center"/>
    </xf>
    <xf numFmtId="44" fontId="9" fillId="0" borderId="0" applyFont="0" applyFill="0" applyBorder="0" applyAlignment="0" applyProtection="0"/>
    <xf numFmtId="44" fontId="9" fillId="0" borderId="0" applyFill="0" applyBorder="0" applyAlignment="0" applyProtection="0"/>
    <xf numFmtId="167" fontId="26" fillId="0" borderId="0" applyFont="0" applyFill="0" applyBorder="0" applyAlignment="0" applyProtection="0">
      <alignment vertical="center"/>
    </xf>
    <xf numFmtId="44" fontId="11" fillId="0" borderId="0" applyFont="0" applyFill="0" applyBorder="0" applyAlignment="0" applyProtection="0"/>
    <xf numFmtId="44" fontId="9"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167" fontId="26" fillId="0" borderId="0" applyFont="0" applyFill="0" applyBorder="0" applyAlignment="0" applyProtection="0"/>
    <xf numFmtId="167" fontId="26" fillId="0" borderId="0" applyFont="0" applyFill="0" applyBorder="0" applyAlignment="0" applyProtection="0"/>
    <xf numFmtId="170" fontId="92" fillId="0" borderId="0" applyFont="0" applyFill="0" applyBorder="0" applyAlignment="0" applyProtection="0"/>
    <xf numFmtId="0" fontId="9" fillId="0" borderId="0" applyFont="0" applyFill="0" applyBorder="0" applyAlignment="0" applyProtection="0"/>
    <xf numFmtId="0" fontId="51" fillId="0" borderId="0" applyNumberFormat="0" applyFill="0" applyBorder="0" applyAlignment="0" applyProtection="0">
      <alignment vertical="center"/>
    </xf>
    <xf numFmtId="0" fontId="30" fillId="0" borderId="0" applyNumberFormat="0" applyFill="0" applyBorder="0" applyAlignment="0" applyProtection="0"/>
    <xf numFmtId="2" fontId="9" fillId="0" borderId="0" applyFont="0" applyFill="0" applyBorder="0" applyAlignment="0" applyProtection="0"/>
    <xf numFmtId="0" fontId="36" fillId="0" borderId="6" applyNumberFormat="0" applyFill="0" applyAlignment="0" applyProtection="0"/>
    <xf numFmtId="0" fontId="31" fillId="10" borderId="0" applyNumberFormat="0" applyBorder="0" applyAlignment="0" applyProtection="0"/>
    <xf numFmtId="0" fontId="52" fillId="10" borderId="0" applyNumberFormat="0" applyBorder="0" applyAlignment="0" applyProtection="0">
      <alignment vertical="center"/>
    </xf>
    <xf numFmtId="0" fontId="31" fillId="10" borderId="0" applyNumberFormat="0" applyBorder="0" applyAlignment="0" applyProtection="0"/>
    <xf numFmtId="38" fontId="25" fillId="28" borderId="0" applyNumberFormat="0" applyBorder="0" applyAlignment="0" applyProtection="0"/>
    <xf numFmtId="0" fontId="41" fillId="0" borderId="7" applyNumberFormat="0" applyAlignment="0" applyProtection="0">
      <alignment horizontal="left" vertical="center"/>
    </xf>
    <xf numFmtId="0" fontId="41" fillId="0" borderId="3">
      <alignment horizontal="left" vertical="center"/>
    </xf>
    <xf numFmtId="0" fontId="53" fillId="0" borderId="8" applyNumberFormat="0" applyFill="0" applyAlignment="0" applyProtection="0">
      <alignment vertical="center"/>
    </xf>
    <xf numFmtId="0" fontId="32" fillId="0" borderId="8" applyNumberFormat="0" applyFill="0" applyAlignment="0" applyProtection="0"/>
    <xf numFmtId="0" fontId="54" fillId="0" borderId="9" applyNumberFormat="0" applyFill="0" applyAlignment="0" applyProtection="0">
      <alignment vertical="center"/>
    </xf>
    <xf numFmtId="0" fontId="33" fillId="0" borderId="9" applyNumberFormat="0" applyFill="0" applyAlignment="0" applyProtection="0"/>
    <xf numFmtId="0" fontId="55" fillId="0" borderId="10" applyNumberFormat="0" applyFill="0" applyAlignment="0" applyProtection="0">
      <alignment vertical="center"/>
    </xf>
    <xf numFmtId="0" fontId="34" fillId="0" borderId="10" applyNumberFormat="0" applyFill="0" applyAlignment="0" applyProtection="0"/>
    <xf numFmtId="0" fontId="55" fillId="0" borderId="0" applyNumberFormat="0" applyFill="0" applyBorder="0" applyAlignment="0" applyProtection="0">
      <alignment vertical="center"/>
    </xf>
    <xf numFmtId="0" fontId="34" fillId="0" borderId="0" applyNumberFormat="0" applyFill="0" applyBorder="0" applyAlignment="0" applyProtection="0"/>
    <xf numFmtId="0" fontId="14" fillId="0" borderId="0" applyNumberFormat="0" applyFill="0" applyBorder="0" applyAlignment="0" applyProtection="0">
      <alignment vertical="top"/>
      <protection locked="0"/>
    </xf>
    <xf numFmtId="0" fontId="13" fillId="0" borderId="0" applyNumberFormat="0" applyFill="0" applyBorder="0" applyAlignment="0" applyProtection="0"/>
    <xf numFmtId="0" fontId="16" fillId="0" borderId="0" applyNumberFormat="0" applyFill="0" applyBorder="0" applyAlignment="0" applyProtection="0">
      <alignment vertical="top"/>
      <protection locked="0"/>
    </xf>
    <xf numFmtId="10" fontId="25" fillId="29" borderId="2" applyNumberFormat="0" applyBorder="0" applyAlignment="0" applyProtection="0"/>
    <xf numFmtId="0" fontId="56" fillId="13" borderId="4" applyNumberFormat="0" applyAlignment="0" applyProtection="0">
      <alignment vertical="center"/>
    </xf>
    <xf numFmtId="0" fontId="35" fillId="13" borderId="4" applyNumberFormat="0" applyAlignment="0" applyProtection="0"/>
    <xf numFmtId="0" fontId="35" fillId="13" borderId="4" applyNumberFormat="0" applyAlignment="0" applyProtection="0"/>
    <xf numFmtId="168" fontId="26" fillId="0" borderId="0" applyFont="0" applyFill="0" applyBorder="0" applyAlignment="0" applyProtection="0">
      <alignment vertical="center"/>
    </xf>
    <xf numFmtId="44" fontId="26" fillId="0" borderId="0" applyFont="0" applyFill="0" applyBorder="0" applyAlignment="0" applyProtection="0">
      <alignment vertical="center"/>
    </xf>
    <xf numFmtId="44" fontId="26" fillId="0" borderId="0" applyFont="0" applyFill="0" applyBorder="0" applyAlignment="0" applyProtection="0">
      <alignment vertical="center"/>
    </xf>
    <xf numFmtId="0" fontId="32" fillId="0" borderId="8" applyNumberFormat="0" applyFill="0" applyAlignment="0" applyProtection="0"/>
    <xf numFmtId="0" fontId="33" fillId="0" borderId="9" applyNumberFormat="0" applyFill="0" applyAlignment="0" applyProtection="0"/>
    <xf numFmtId="0" fontId="34" fillId="0" borderId="10" applyNumberFormat="0" applyFill="0" applyAlignment="0" applyProtection="0"/>
    <xf numFmtId="0" fontId="34" fillId="0" borderId="0" applyNumberFormat="0" applyFill="0" applyBorder="0" applyAlignment="0" applyProtection="0"/>
    <xf numFmtId="0" fontId="2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7" fillId="0" borderId="6" applyNumberFormat="0" applyFill="0" applyAlignment="0" applyProtection="0">
      <alignment vertical="center"/>
    </xf>
    <xf numFmtId="0" fontId="36" fillId="0" borderId="6" applyNumberFormat="0" applyFill="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9" fillId="0" borderId="11" applyNumberFormat="0" applyFill="0" applyAlignment="0"/>
    <xf numFmtId="0" fontId="37" fillId="30" borderId="0" applyNumberFormat="0" applyBorder="0" applyAlignment="0" applyProtection="0"/>
    <xf numFmtId="0" fontId="58" fillId="30" borderId="0" applyNumberFormat="0" applyBorder="0" applyAlignment="0" applyProtection="0">
      <alignment vertical="center"/>
    </xf>
    <xf numFmtId="0" fontId="37" fillId="30" borderId="0" applyNumberFormat="0" applyBorder="0" applyAlignment="0" applyProtection="0"/>
    <xf numFmtId="171" fontId="9" fillId="0" borderId="0"/>
    <xf numFmtId="169" fontId="9" fillId="0" borderId="0"/>
    <xf numFmtId="0" fontId="9" fillId="0" borderId="0"/>
    <xf numFmtId="0" fontId="9" fillId="0" borderId="0"/>
    <xf numFmtId="0" fontId="9" fillId="0" borderId="0"/>
    <xf numFmtId="169" fontId="9" fillId="0" borderId="0"/>
    <xf numFmtId="0" fontId="5" fillId="0" borderId="0"/>
    <xf numFmtId="0" fontId="9" fillId="0" borderId="0"/>
    <xf numFmtId="0" fontId="5" fillId="0" borderId="0"/>
    <xf numFmtId="0" fontId="5" fillId="0" borderId="0"/>
    <xf numFmtId="0" fontId="5" fillId="0" borderId="0"/>
    <xf numFmtId="0" fontId="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1" fillId="0" borderId="0"/>
    <xf numFmtId="0" fontId="9" fillId="0" borderId="0"/>
    <xf numFmtId="0" fontId="9" fillId="0" borderId="0"/>
    <xf numFmtId="0" fontId="9" fillId="0" borderId="0"/>
    <xf numFmtId="0" fontId="9" fillId="0" borderId="0"/>
    <xf numFmtId="0" fontId="8" fillId="0" borderId="0"/>
    <xf numFmtId="0" fontId="5" fillId="0" borderId="0"/>
    <xf numFmtId="0" fontId="5" fillId="0" borderId="0"/>
    <xf numFmtId="0" fontId="5" fillId="0" borderId="0"/>
    <xf numFmtId="0" fontId="9" fillId="0" borderId="0">
      <alignment wrapText="1"/>
    </xf>
    <xf numFmtId="0" fontId="9" fillId="0" borderId="0">
      <alignment wrapText="1"/>
    </xf>
    <xf numFmtId="0" fontId="9" fillId="0" borderId="0">
      <alignment wrapText="1"/>
    </xf>
    <xf numFmtId="0" fontId="9" fillId="0" borderId="0"/>
    <xf numFmtId="0" fontId="9" fillId="0" borderId="0"/>
    <xf numFmtId="0" fontId="9" fillId="0" borderId="0"/>
    <xf numFmtId="0" fontId="9" fillId="0" borderId="0"/>
    <xf numFmtId="0" fontId="9" fillId="0" borderId="0"/>
    <xf numFmtId="0" fontId="5" fillId="0" borderId="0"/>
    <xf numFmtId="0" fontId="91" fillId="0" borderId="0"/>
    <xf numFmtId="0" fontId="8" fillId="0" borderId="0"/>
    <xf numFmtId="0" fontId="5" fillId="0" borderId="0"/>
    <xf numFmtId="0" fontId="90" fillId="0" borderId="0"/>
    <xf numFmtId="0" fontId="9" fillId="0" borderId="0"/>
    <xf numFmtId="0" fontId="101" fillId="0" borderId="0" applyNumberFormat="0" applyFill="0" applyBorder="0" applyProtection="0">
      <alignment vertical="top" wrapText="1"/>
    </xf>
    <xf numFmtId="0" fontId="9" fillId="0" borderId="0">
      <alignment wrapText="1"/>
    </xf>
    <xf numFmtId="0" fontId="9" fillId="0" borderId="0"/>
    <xf numFmtId="0" fontId="9" fillId="0" borderId="0"/>
    <xf numFmtId="0" fontId="9" fillId="0" borderId="0"/>
    <xf numFmtId="0" fontId="9" fillId="0" borderId="0"/>
    <xf numFmtId="0" fontId="9" fillId="0" borderId="0"/>
    <xf numFmtId="0" fontId="9" fillId="0" borderId="0"/>
    <xf numFmtId="0" fontId="26" fillId="31" borderId="12" applyNumberFormat="0" applyFont="0" applyAlignment="0" applyProtection="0">
      <alignment vertical="center"/>
    </xf>
    <xf numFmtId="0" fontId="44" fillId="31" borderId="12" applyNumberFormat="0" applyFont="0" applyAlignment="0" applyProtection="0">
      <alignment vertical="center"/>
    </xf>
    <xf numFmtId="0" fontId="11" fillId="31" borderId="12" applyNumberFormat="0" applyFont="0" applyAlignment="0" applyProtection="0"/>
    <xf numFmtId="0" fontId="11" fillId="31" borderId="12" applyNumberFormat="0" applyFont="0" applyAlignment="0" applyProtection="0"/>
    <xf numFmtId="0" fontId="27" fillId="9" borderId="0" applyNumberFormat="0" applyBorder="0" applyAlignment="0" applyProtection="0"/>
    <xf numFmtId="0" fontId="59" fillId="26" borderId="13" applyNumberFormat="0" applyAlignment="0" applyProtection="0">
      <alignment vertical="center"/>
    </xf>
    <xf numFmtId="0" fontId="38" fillId="26" borderId="13" applyNumberFormat="0" applyAlignment="0" applyProtection="0"/>
    <xf numFmtId="10"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26"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26" fillId="0" borderId="0">
      <alignment vertical="center"/>
    </xf>
    <xf numFmtId="0" fontId="17" fillId="0" borderId="0"/>
    <xf numFmtId="42" fontId="93" fillId="0" borderId="0" applyFon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alignment vertical="center"/>
    </xf>
    <xf numFmtId="0" fontId="39" fillId="0" borderId="0" applyNumberFormat="0" applyFill="0" applyBorder="0" applyAlignment="0" applyProtection="0"/>
    <xf numFmtId="0" fontId="10" fillId="0" borderId="14" applyNumberFormat="0" applyFill="0" applyAlignment="0" applyProtection="0"/>
    <xf numFmtId="0" fontId="62" fillId="0" borderId="14" applyNumberFormat="0" applyFill="0" applyAlignment="0" applyProtection="0">
      <alignment vertical="center"/>
    </xf>
    <xf numFmtId="0" fontId="10" fillId="0" borderId="14" applyNumberFormat="0" applyFill="0" applyAlignment="0" applyProtection="0"/>
    <xf numFmtId="0" fontId="38" fillId="26" borderId="13" applyNumberFormat="0" applyAlignment="0" applyProtection="0"/>
    <xf numFmtId="0" fontId="30" fillId="0" borderId="0" applyNumberFormat="0" applyFill="0" applyBorder="0" applyAlignment="0" applyProtection="0"/>
    <xf numFmtId="0" fontId="40" fillId="0" borderId="0" applyNumberFormat="0" applyFill="0" applyBorder="0" applyAlignment="0" applyProtection="0"/>
    <xf numFmtId="0" fontId="63" fillId="0" borderId="0" applyNumberFormat="0" applyFill="0" applyBorder="0" applyAlignment="0" applyProtection="0">
      <alignment vertical="center"/>
    </xf>
    <xf numFmtId="0" fontId="40" fillId="0" borderId="0" applyNumberFormat="0" applyFill="0" applyBorder="0" applyAlignment="0" applyProtection="0"/>
    <xf numFmtId="40" fontId="94" fillId="0" borderId="0" applyFont="0" applyFill="0" applyBorder="0" applyAlignment="0" applyProtection="0"/>
    <xf numFmtId="38" fontId="94" fillId="0" borderId="0" applyFont="0" applyFill="0" applyBorder="0" applyAlignment="0" applyProtection="0"/>
    <xf numFmtId="0" fontId="94" fillId="0" borderId="0" applyFont="0" applyFill="0" applyBorder="0" applyAlignment="0" applyProtection="0"/>
    <xf numFmtId="0" fontId="94" fillId="0" borderId="0" applyFont="0" applyFill="0" applyBorder="0" applyAlignment="0" applyProtection="0"/>
    <xf numFmtId="9" fontId="95" fillId="0" borderId="0" applyFont="0" applyFill="0" applyBorder="0" applyAlignment="0" applyProtection="0"/>
    <xf numFmtId="0" fontId="96" fillId="0" borderId="0"/>
    <xf numFmtId="172" fontId="97" fillId="0" borderId="0" applyFont="0" applyFill="0" applyBorder="0" applyAlignment="0" applyProtection="0"/>
    <xf numFmtId="173" fontId="97" fillId="0" borderId="0" applyFont="0" applyFill="0" applyBorder="0" applyAlignment="0" applyProtection="0"/>
    <xf numFmtId="174" fontId="97" fillId="0" borderId="0" applyFont="0" applyFill="0" applyBorder="0" applyAlignment="0" applyProtection="0"/>
    <xf numFmtId="175" fontId="97" fillId="0" borderId="0" applyFont="0" applyFill="0" applyBorder="0" applyAlignment="0" applyProtection="0"/>
    <xf numFmtId="0" fontId="98" fillId="0" borderId="0"/>
    <xf numFmtId="0" fontId="5" fillId="0" borderId="0"/>
    <xf numFmtId="0" fontId="26" fillId="0" borderId="0">
      <alignment vertical="center"/>
    </xf>
    <xf numFmtId="0" fontId="9" fillId="0" borderId="0"/>
    <xf numFmtId="0" fontId="9" fillId="0" borderId="0"/>
    <xf numFmtId="0" fontId="9" fillId="0" borderId="0"/>
    <xf numFmtId="0" fontId="43" fillId="0" borderId="0">
      <alignment vertical="center"/>
    </xf>
    <xf numFmtId="0" fontId="9" fillId="0" borderId="0"/>
    <xf numFmtId="0" fontId="26" fillId="0" borderId="0"/>
    <xf numFmtId="0" fontId="9" fillId="0" borderId="0"/>
    <xf numFmtId="0" fontId="9" fillId="0" borderId="0"/>
    <xf numFmtId="0" fontId="44" fillId="0" borderId="0">
      <alignment vertical="center"/>
    </xf>
    <xf numFmtId="0" fontId="64" fillId="30" borderId="0" applyNumberFormat="0" applyBorder="0" applyAlignment="0" applyProtection="0">
      <alignment vertical="center"/>
    </xf>
    <xf numFmtId="0" fontId="64" fillId="30" borderId="0" applyNumberFormat="0" applyBorder="0" applyAlignment="0" applyProtection="0">
      <alignment vertical="center"/>
    </xf>
    <xf numFmtId="0" fontId="58" fillId="30" borderId="0" applyNumberFormat="0" applyBorder="0" applyAlignment="0" applyProtection="0">
      <alignment vertical="center"/>
    </xf>
    <xf numFmtId="0" fontId="64" fillId="30" borderId="0" applyNumberFormat="0" applyBorder="0" applyAlignment="0" applyProtection="0">
      <alignment vertical="center"/>
    </xf>
    <xf numFmtId="0" fontId="65" fillId="30" borderId="0" applyNumberFormat="0" applyBorder="0" applyAlignment="0" applyProtection="0">
      <alignment vertical="center"/>
    </xf>
    <xf numFmtId="0" fontId="64" fillId="30" borderId="0" applyNumberFormat="0" applyBorder="0" applyAlignment="0" applyProtection="0">
      <alignment vertical="center"/>
    </xf>
    <xf numFmtId="0" fontId="64" fillId="30" borderId="0" applyNumberFormat="0" applyBorder="0" applyAlignment="0" applyProtection="0">
      <alignment vertical="center"/>
    </xf>
    <xf numFmtId="0" fontId="64" fillId="30" borderId="0" applyNumberFormat="0" applyBorder="0" applyAlignment="0" applyProtection="0">
      <alignment vertical="center"/>
    </xf>
    <xf numFmtId="0" fontId="64" fillId="30" borderId="0" applyNumberFormat="0" applyBorder="0" applyAlignment="0" applyProtection="0">
      <alignment vertical="center"/>
    </xf>
    <xf numFmtId="0" fontId="64" fillId="30" borderId="0" applyNumberFormat="0" applyBorder="0" applyAlignment="0" applyProtection="0">
      <alignment vertical="center"/>
    </xf>
    <xf numFmtId="0" fontId="64" fillId="30" borderId="0" applyNumberFormat="0" applyBorder="0" applyAlignment="0" applyProtection="0">
      <alignment vertical="center"/>
    </xf>
    <xf numFmtId="0" fontId="64" fillId="30" borderId="0" applyNumberFormat="0" applyBorder="0" applyAlignment="0" applyProtection="0">
      <alignment vertical="center"/>
    </xf>
    <xf numFmtId="0" fontId="64" fillId="30" borderId="0" applyNumberFormat="0" applyBorder="0" applyAlignment="0" applyProtection="0">
      <alignment vertical="center"/>
    </xf>
    <xf numFmtId="0" fontId="9" fillId="31" borderId="12" applyNumberFormat="0" applyFont="0" applyAlignment="0" applyProtection="0">
      <alignment vertical="center"/>
    </xf>
    <xf numFmtId="0" fontId="26" fillId="31" borderId="12" applyNumberFormat="0" applyFont="0" applyAlignment="0" applyProtection="0">
      <alignment vertical="center"/>
    </xf>
    <xf numFmtId="0" fontId="44" fillId="31" borderId="12" applyNumberFormat="0" applyFont="0" applyAlignment="0" applyProtection="0">
      <alignment vertical="center"/>
    </xf>
    <xf numFmtId="0" fontId="9" fillId="31" borderId="12" applyNumberFormat="0" applyFont="0" applyAlignment="0" applyProtection="0">
      <alignment vertical="center"/>
    </xf>
    <xf numFmtId="0" fontId="9" fillId="31" borderId="12" applyNumberFormat="0" applyFont="0" applyAlignment="0" applyProtection="0">
      <alignment vertical="center"/>
    </xf>
    <xf numFmtId="0" fontId="26" fillId="31" borderId="12" applyNumberFormat="0" applyFont="0" applyAlignment="0" applyProtection="0">
      <alignment vertical="center"/>
    </xf>
    <xf numFmtId="0" fontId="44" fillId="31" borderId="12" applyNumberFormat="0" applyFont="0" applyAlignment="0" applyProtection="0">
      <alignment vertical="center"/>
    </xf>
    <xf numFmtId="0" fontId="9" fillId="31" borderId="12" applyNumberFormat="0" applyFont="0" applyAlignment="0" applyProtection="0">
      <alignment vertical="center"/>
    </xf>
    <xf numFmtId="0" fontId="9" fillId="31" borderId="12" applyNumberFormat="0" applyFont="0" applyAlignment="0" applyProtection="0">
      <alignment vertical="center"/>
    </xf>
    <xf numFmtId="0" fontId="26" fillId="31" borderId="12" applyNumberFormat="0" applyFont="0" applyAlignment="0" applyProtection="0">
      <alignment vertical="center"/>
    </xf>
    <xf numFmtId="0" fontId="26" fillId="31" borderId="12" applyNumberFormat="0" applyFont="0" applyAlignment="0" applyProtection="0">
      <alignment vertical="center"/>
    </xf>
    <xf numFmtId="0" fontId="26" fillId="31" borderId="12" applyNumberFormat="0" applyFont="0" applyAlignment="0" applyProtection="0">
      <alignment vertical="center"/>
    </xf>
    <xf numFmtId="0" fontId="26" fillId="31" borderId="12" applyNumberFormat="0" applyFont="0" applyAlignment="0" applyProtection="0">
      <alignment vertical="center"/>
    </xf>
    <xf numFmtId="0" fontId="26" fillId="31" borderId="12" applyNumberFormat="0" applyFont="0" applyAlignment="0" applyProtection="0">
      <alignment vertical="center"/>
    </xf>
    <xf numFmtId="0" fontId="26" fillId="31" borderId="12" applyNumberFormat="0" applyFont="0" applyAlignment="0" applyProtection="0">
      <alignment vertical="center"/>
    </xf>
    <xf numFmtId="0" fontId="26" fillId="31" borderId="12" applyNumberFormat="0" applyFont="0" applyAlignment="0" applyProtection="0">
      <alignment vertical="center"/>
    </xf>
    <xf numFmtId="0" fontId="9" fillId="31" borderId="12" applyNumberFormat="0" applyFont="0" applyAlignment="0" applyProtection="0">
      <alignment vertical="center"/>
    </xf>
    <xf numFmtId="43" fontId="9" fillId="0" borderId="0" applyFont="0" applyFill="0" applyBorder="0" applyAlignment="0" applyProtection="0"/>
    <xf numFmtId="164" fontId="26" fillId="0" borderId="0" applyFont="0" applyFill="0" applyBorder="0" applyAlignment="0" applyProtection="0">
      <alignment vertical="center"/>
    </xf>
    <xf numFmtId="43" fontId="9" fillId="0" borderId="0" applyFont="0" applyFill="0" applyBorder="0" applyAlignment="0" applyProtection="0"/>
    <xf numFmtId="164" fontId="44" fillId="0" borderId="0" applyFont="0" applyFill="0" applyBorder="0" applyAlignment="0" applyProtection="0">
      <alignment vertical="center"/>
    </xf>
    <xf numFmtId="176" fontId="99" fillId="0" borderId="0" applyFont="0" applyFill="0" applyBorder="0" applyAlignment="0" applyProtection="0"/>
    <xf numFmtId="177" fontId="99" fillId="0" borderId="0" applyFont="0" applyFill="0" applyBorder="0" applyAlignment="0" applyProtection="0"/>
    <xf numFmtId="0" fontId="66" fillId="0" borderId="14" applyNumberFormat="0" applyFill="0" applyAlignment="0" applyProtection="0">
      <alignment vertical="center"/>
    </xf>
    <xf numFmtId="0" fontId="66" fillId="0" borderId="14" applyNumberFormat="0" applyFill="0" applyAlignment="0" applyProtection="0">
      <alignment vertical="center"/>
    </xf>
    <xf numFmtId="0" fontId="62" fillId="0" borderId="14" applyNumberFormat="0" applyFill="0" applyAlignment="0" applyProtection="0">
      <alignment vertical="center"/>
    </xf>
    <xf numFmtId="0" fontId="66" fillId="0" borderId="14" applyNumberFormat="0" applyFill="0" applyAlignment="0" applyProtection="0">
      <alignment vertical="center"/>
    </xf>
    <xf numFmtId="0" fontId="67" fillId="0" borderId="14" applyNumberFormat="0" applyFill="0" applyAlignment="0" applyProtection="0">
      <alignment vertical="center"/>
    </xf>
    <xf numFmtId="0" fontId="66" fillId="0" borderId="14" applyNumberFormat="0" applyFill="0" applyAlignment="0" applyProtection="0">
      <alignment vertical="center"/>
    </xf>
    <xf numFmtId="0" fontId="66" fillId="0" borderId="14" applyNumberFormat="0" applyFill="0" applyAlignment="0" applyProtection="0">
      <alignment vertical="center"/>
    </xf>
    <xf numFmtId="0" fontId="66" fillId="0" borderId="14" applyNumberFormat="0" applyFill="0" applyAlignment="0" applyProtection="0">
      <alignment vertical="center"/>
    </xf>
    <xf numFmtId="0" fontId="66" fillId="0" borderId="14" applyNumberFormat="0" applyFill="0" applyAlignment="0" applyProtection="0">
      <alignment vertical="center"/>
    </xf>
    <xf numFmtId="0" fontId="66" fillId="0" borderId="14" applyNumberFormat="0" applyFill="0" applyAlignment="0" applyProtection="0">
      <alignment vertical="center"/>
    </xf>
    <xf numFmtId="0" fontId="66" fillId="0" borderId="14" applyNumberFormat="0" applyFill="0" applyAlignment="0" applyProtection="0">
      <alignment vertical="center"/>
    </xf>
    <xf numFmtId="0" fontId="66" fillId="0" borderId="14" applyNumberFormat="0" applyFill="0" applyAlignment="0" applyProtection="0">
      <alignment vertical="center"/>
    </xf>
    <xf numFmtId="0" fontId="66" fillId="0" borderId="14" applyNumberFormat="0" applyFill="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48" fillId="9" borderId="0" applyNumberFormat="0" applyBorder="0" applyAlignment="0" applyProtection="0">
      <alignment vertical="center"/>
    </xf>
    <xf numFmtId="0" fontId="68" fillId="9" borderId="0" applyNumberFormat="0" applyBorder="0" applyAlignment="0" applyProtection="0">
      <alignment vertical="center"/>
    </xf>
    <xf numFmtId="0" fontId="69"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48" fillId="9" borderId="0" applyNumberFormat="0" applyBorder="0" applyAlignment="0" applyProtection="0">
      <alignment vertical="center"/>
    </xf>
    <xf numFmtId="0" fontId="4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52"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52" fillId="10" borderId="0" applyNumberFormat="0" applyBorder="0" applyAlignment="0" applyProtection="0">
      <alignment vertical="center"/>
    </xf>
    <xf numFmtId="0" fontId="52"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 fillId="0" borderId="0"/>
    <xf numFmtId="0" fontId="61" fillId="0" borderId="0" applyNumberFormat="0" applyFill="0" applyBorder="0" applyAlignment="0" applyProtection="0">
      <alignment vertical="center"/>
    </xf>
    <xf numFmtId="0" fontId="53" fillId="0" borderId="8" applyNumberFormat="0" applyFill="0" applyAlignment="0" applyProtection="0">
      <alignment vertical="center"/>
    </xf>
    <xf numFmtId="0" fontId="53" fillId="0" borderId="8" applyNumberFormat="0" applyFill="0" applyAlignment="0" applyProtection="0">
      <alignment vertical="center"/>
    </xf>
    <xf numFmtId="0" fontId="53" fillId="0" borderId="8" applyNumberFormat="0" applyFill="0" applyAlignment="0" applyProtection="0">
      <alignment vertical="center"/>
    </xf>
    <xf numFmtId="0" fontId="72" fillId="0" borderId="8" applyNumberFormat="0" applyFill="0" applyAlignment="0" applyProtection="0">
      <alignment vertical="center"/>
    </xf>
    <xf numFmtId="0" fontId="53" fillId="0" borderId="8" applyNumberFormat="0" applyFill="0" applyAlignment="0" applyProtection="0">
      <alignment vertical="center"/>
    </xf>
    <xf numFmtId="0" fontId="53" fillId="0" borderId="8" applyNumberFormat="0" applyFill="0" applyAlignment="0" applyProtection="0">
      <alignment vertical="center"/>
    </xf>
    <xf numFmtId="0" fontId="53" fillId="0" borderId="8" applyNumberFormat="0" applyFill="0" applyAlignment="0" applyProtection="0">
      <alignment vertical="center"/>
    </xf>
    <xf numFmtId="0" fontId="53" fillId="0" borderId="8" applyNumberFormat="0" applyFill="0" applyAlignment="0" applyProtection="0">
      <alignment vertical="center"/>
    </xf>
    <xf numFmtId="0" fontId="53" fillId="0" borderId="8" applyNumberFormat="0" applyFill="0" applyAlignment="0" applyProtection="0">
      <alignment vertical="center"/>
    </xf>
    <xf numFmtId="0" fontId="53" fillId="0" borderId="8" applyNumberFormat="0" applyFill="0" applyAlignment="0" applyProtection="0">
      <alignment vertical="center"/>
    </xf>
    <xf numFmtId="0" fontId="53" fillId="0" borderId="8" applyNumberFormat="0" applyFill="0" applyAlignment="0" applyProtection="0">
      <alignment vertical="center"/>
    </xf>
    <xf numFmtId="0" fontId="53" fillId="0" borderId="8" applyNumberFormat="0" applyFill="0" applyAlignment="0" applyProtection="0">
      <alignment vertical="center"/>
    </xf>
    <xf numFmtId="0" fontId="53" fillId="0" borderId="8" applyNumberFormat="0" applyFill="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73"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4" fillId="0" borderId="9" applyNumberFormat="0" applyFill="0" applyAlignment="0" applyProtection="0">
      <alignment vertical="center"/>
    </xf>
    <xf numFmtId="0" fontId="55" fillId="0" borderId="10" applyNumberFormat="0" applyFill="0" applyAlignment="0" applyProtection="0">
      <alignment vertical="center"/>
    </xf>
    <xf numFmtId="0" fontId="55" fillId="0" borderId="10" applyNumberFormat="0" applyFill="0" applyAlignment="0" applyProtection="0">
      <alignment vertical="center"/>
    </xf>
    <xf numFmtId="0" fontId="55" fillId="0" borderId="10" applyNumberFormat="0" applyFill="0" applyAlignment="0" applyProtection="0">
      <alignment vertical="center"/>
    </xf>
    <xf numFmtId="0" fontId="74" fillId="0" borderId="10" applyNumberFormat="0" applyFill="0" applyAlignment="0" applyProtection="0">
      <alignment vertical="center"/>
    </xf>
    <xf numFmtId="0" fontId="55" fillId="0" borderId="10" applyNumberFormat="0" applyFill="0" applyAlignment="0" applyProtection="0">
      <alignment vertical="center"/>
    </xf>
    <xf numFmtId="0" fontId="55" fillId="0" borderId="10" applyNumberFormat="0" applyFill="0" applyAlignment="0" applyProtection="0">
      <alignment vertical="center"/>
    </xf>
    <xf numFmtId="0" fontId="55" fillId="0" borderId="10" applyNumberFormat="0" applyFill="0" applyAlignment="0" applyProtection="0">
      <alignment vertical="center"/>
    </xf>
    <xf numFmtId="0" fontId="55" fillId="0" borderId="10" applyNumberFormat="0" applyFill="0" applyAlignment="0" applyProtection="0">
      <alignment vertical="center"/>
    </xf>
    <xf numFmtId="0" fontId="55" fillId="0" borderId="10" applyNumberFormat="0" applyFill="0" applyAlignment="0" applyProtection="0">
      <alignment vertical="center"/>
    </xf>
    <xf numFmtId="0" fontId="55" fillId="0" borderId="10" applyNumberFormat="0" applyFill="0" applyAlignment="0" applyProtection="0">
      <alignment vertical="center"/>
    </xf>
    <xf numFmtId="0" fontId="55" fillId="0" borderId="10" applyNumberFormat="0" applyFill="0" applyAlignment="0" applyProtection="0">
      <alignment vertical="center"/>
    </xf>
    <xf numFmtId="0" fontId="55" fillId="0" borderId="10" applyNumberFormat="0" applyFill="0" applyAlignment="0" applyProtection="0">
      <alignment vertical="center"/>
    </xf>
    <xf numFmtId="0" fontId="55" fillId="0" borderId="10" applyNumberFormat="0" applyFill="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17" fillId="0" borderId="0"/>
    <xf numFmtId="0" fontId="75" fillId="27" borderId="5" applyNumberFormat="0" applyAlignment="0" applyProtection="0">
      <alignment vertical="center"/>
    </xf>
    <xf numFmtId="0" fontId="75" fillId="27" borderId="5" applyNumberFormat="0" applyAlignment="0" applyProtection="0">
      <alignment vertical="center"/>
    </xf>
    <xf numFmtId="0" fontId="50" fillId="27" borderId="5" applyNumberFormat="0" applyAlignment="0" applyProtection="0">
      <alignment vertical="center"/>
    </xf>
    <xf numFmtId="0" fontId="75" fillId="27" borderId="5" applyNumberFormat="0" applyAlignment="0" applyProtection="0">
      <alignment vertical="center"/>
    </xf>
    <xf numFmtId="0" fontId="76" fillId="27" borderId="5" applyNumberFormat="0" applyAlignment="0" applyProtection="0">
      <alignment vertical="center"/>
    </xf>
    <xf numFmtId="0" fontId="75" fillId="27" borderId="5" applyNumberFormat="0" applyAlignment="0" applyProtection="0">
      <alignment vertical="center"/>
    </xf>
    <xf numFmtId="0" fontId="75" fillId="27" borderId="5" applyNumberFormat="0" applyAlignment="0" applyProtection="0">
      <alignment vertical="center"/>
    </xf>
    <xf numFmtId="0" fontId="75" fillId="27" borderId="5" applyNumberFormat="0" applyAlignment="0" applyProtection="0">
      <alignment vertical="center"/>
    </xf>
    <xf numFmtId="0" fontId="75" fillId="27" borderId="5" applyNumberFormat="0" applyAlignment="0" applyProtection="0">
      <alignment vertical="center"/>
    </xf>
    <xf numFmtId="0" fontId="75" fillId="27" borderId="5" applyNumberFormat="0" applyAlignment="0" applyProtection="0">
      <alignment vertical="center"/>
    </xf>
    <xf numFmtId="0" fontId="75" fillId="27" borderId="5" applyNumberFormat="0" applyAlignment="0" applyProtection="0">
      <alignment vertical="center"/>
    </xf>
    <xf numFmtId="0" fontId="75" fillId="27" borderId="5" applyNumberFormat="0" applyAlignment="0" applyProtection="0">
      <alignment vertical="center"/>
    </xf>
    <xf numFmtId="0" fontId="75" fillId="27" borderId="5" applyNumberFormat="0" applyAlignment="0" applyProtection="0">
      <alignment vertical="center"/>
    </xf>
    <xf numFmtId="0" fontId="75" fillId="27" borderId="5" applyNumberFormat="0" applyAlignment="0" applyProtection="0">
      <alignment vertical="center"/>
    </xf>
    <xf numFmtId="0" fontId="77" fillId="26" borderId="4" applyNumberFormat="0" applyAlignment="0" applyProtection="0">
      <alignment vertical="center"/>
    </xf>
    <xf numFmtId="0" fontId="77" fillId="26" borderId="4" applyNumberFormat="0" applyAlignment="0" applyProtection="0">
      <alignment vertical="center"/>
    </xf>
    <xf numFmtId="0" fontId="49" fillId="26" borderId="4" applyNumberFormat="0" applyAlignment="0" applyProtection="0">
      <alignment vertical="center"/>
    </xf>
    <xf numFmtId="0" fontId="77" fillId="26" borderId="4" applyNumberFormat="0" applyAlignment="0" applyProtection="0">
      <alignment vertical="center"/>
    </xf>
    <xf numFmtId="0" fontId="78" fillId="26" borderId="4" applyNumberFormat="0" applyAlignment="0" applyProtection="0">
      <alignment vertical="center"/>
    </xf>
    <xf numFmtId="0" fontId="77" fillId="26" borderId="4" applyNumberFormat="0" applyAlignment="0" applyProtection="0">
      <alignment vertical="center"/>
    </xf>
    <xf numFmtId="0" fontId="77" fillId="26" borderId="4" applyNumberFormat="0" applyAlignment="0" applyProtection="0">
      <alignment vertical="center"/>
    </xf>
    <xf numFmtId="0" fontId="77" fillId="26" borderId="4" applyNumberFormat="0" applyAlignment="0" applyProtection="0">
      <alignment vertical="center"/>
    </xf>
    <xf numFmtId="0" fontId="77" fillId="26" borderId="4" applyNumberFormat="0" applyAlignment="0" applyProtection="0">
      <alignment vertical="center"/>
    </xf>
    <xf numFmtId="0" fontId="77" fillId="26" borderId="4" applyNumberFormat="0" applyAlignment="0" applyProtection="0">
      <alignment vertical="center"/>
    </xf>
    <xf numFmtId="0" fontId="77" fillId="26" borderId="4" applyNumberFormat="0" applyAlignment="0" applyProtection="0">
      <alignment vertical="center"/>
    </xf>
    <xf numFmtId="0" fontId="77" fillId="26" borderId="4" applyNumberFormat="0" applyAlignment="0" applyProtection="0">
      <alignment vertical="center"/>
    </xf>
    <xf numFmtId="0" fontId="77" fillId="26" borderId="4" applyNumberFormat="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178" fontId="99" fillId="0" borderId="0" applyFont="0" applyFill="0" applyBorder="0" applyAlignment="0" applyProtection="0"/>
    <xf numFmtId="167" fontId="26" fillId="0" borderId="0" applyFont="0" applyFill="0" applyBorder="0" applyAlignment="0" applyProtection="0">
      <alignment vertical="center"/>
    </xf>
    <xf numFmtId="179" fontId="99" fillId="0" borderId="0" applyFont="0" applyFill="0" applyBorder="0" applyAlignment="0" applyProtection="0"/>
    <xf numFmtId="0" fontId="83" fillId="0" borderId="0" applyNumberFormat="0" applyFill="0" applyBorder="0" applyAlignment="0" applyProtection="0">
      <alignment vertical="top"/>
      <protection locked="0"/>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5" fillId="22" borderId="0" applyNumberFormat="0" applyBorder="0" applyAlignment="0" applyProtection="0">
      <alignment vertical="center"/>
    </xf>
    <xf numFmtId="0" fontId="46" fillId="22" borderId="0" applyNumberFormat="0" applyBorder="0" applyAlignment="0" applyProtection="0">
      <alignment vertical="center"/>
    </xf>
    <xf numFmtId="0" fontId="47"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6" fillId="23" borderId="0" applyNumberFormat="0" applyBorder="0" applyAlignment="0" applyProtection="0">
      <alignment vertical="center"/>
    </xf>
    <xf numFmtId="0" fontId="45" fillId="23" borderId="0" applyNumberFormat="0" applyBorder="0" applyAlignment="0" applyProtection="0">
      <alignment vertical="center"/>
    </xf>
    <xf numFmtId="0" fontId="46" fillId="23" borderId="0" applyNumberFormat="0" applyBorder="0" applyAlignment="0" applyProtection="0">
      <alignment vertical="center"/>
    </xf>
    <xf numFmtId="0" fontId="47" fillId="23" borderId="0" applyNumberFormat="0" applyBorder="0" applyAlignment="0" applyProtection="0">
      <alignment vertical="center"/>
    </xf>
    <xf numFmtId="0" fontId="46" fillId="23" borderId="0" applyNumberFormat="0" applyBorder="0" applyAlignment="0" applyProtection="0">
      <alignment vertical="center"/>
    </xf>
    <xf numFmtId="0" fontId="46" fillId="23" borderId="0" applyNumberFormat="0" applyBorder="0" applyAlignment="0" applyProtection="0">
      <alignment vertical="center"/>
    </xf>
    <xf numFmtId="0" fontId="46" fillId="23" borderId="0" applyNumberFormat="0" applyBorder="0" applyAlignment="0" applyProtection="0">
      <alignment vertical="center"/>
    </xf>
    <xf numFmtId="0" fontId="46" fillId="23" borderId="0" applyNumberFormat="0" applyBorder="0" applyAlignment="0" applyProtection="0">
      <alignment vertical="center"/>
    </xf>
    <xf numFmtId="0" fontId="46" fillId="23" borderId="0" applyNumberFormat="0" applyBorder="0" applyAlignment="0" applyProtection="0">
      <alignment vertical="center"/>
    </xf>
    <xf numFmtId="0" fontId="46" fillId="23" borderId="0" applyNumberFormat="0" applyBorder="0" applyAlignment="0" applyProtection="0">
      <alignment vertical="center"/>
    </xf>
    <xf numFmtId="0" fontId="46" fillId="23"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5" fillId="24" borderId="0" applyNumberFormat="0" applyBorder="0" applyAlignment="0" applyProtection="0">
      <alignment vertical="center"/>
    </xf>
    <xf numFmtId="0" fontId="46" fillId="24" borderId="0" applyNumberFormat="0" applyBorder="0" applyAlignment="0" applyProtection="0">
      <alignment vertical="center"/>
    </xf>
    <xf numFmtId="0" fontId="47"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5" fillId="19" borderId="0" applyNumberFormat="0" applyBorder="0" applyAlignment="0" applyProtection="0">
      <alignment vertical="center"/>
    </xf>
    <xf numFmtId="0" fontId="46" fillId="19" borderId="0" applyNumberFormat="0" applyBorder="0" applyAlignment="0" applyProtection="0">
      <alignment vertical="center"/>
    </xf>
    <xf numFmtId="0" fontId="47"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5" fillId="20" borderId="0" applyNumberFormat="0" applyBorder="0" applyAlignment="0" applyProtection="0">
      <alignment vertical="center"/>
    </xf>
    <xf numFmtId="0" fontId="46" fillId="20" borderId="0" applyNumberFormat="0" applyBorder="0" applyAlignment="0" applyProtection="0">
      <alignment vertical="center"/>
    </xf>
    <xf numFmtId="0" fontId="47"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45" fillId="25" borderId="0" applyNumberFormat="0" applyBorder="0" applyAlignment="0" applyProtection="0">
      <alignment vertical="center"/>
    </xf>
    <xf numFmtId="0" fontId="46" fillId="25" borderId="0" applyNumberFormat="0" applyBorder="0" applyAlignment="0" applyProtection="0">
      <alignment vertical="center"/>
    </xf>
    <xf numFmtId="0" fontId="47" fillId="25"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84" fillId="13" borderId="4" applyNumberFormat="0" applyAlignment="0" applyProtection="0">
      <alignment vertical="center"/>
    </xf>
    <xf numFmtId="0" fontId="84" fillId="13" borderId="4" applyNumberFormat="0" applyAlignment="0" applyProtection="0">
      <alignment vertical="center"/>
    </xf>
    <xf numFmtId="0" fontId="56" fillId="13" borderId="4" applyNumberFormat="0" applyAlignment="0" applyProtection="0">
      <alignment vertical="center"/>
    </xf>
    <xf numFmtId="0" fontId="84" fillId="13" borderId="4" applyNumberFormat="0" applyAlignment="0" applyProtection="0">
      <alignment vertical="center"/>
    </xf>
    <xf numFmtId="0" fontId="85" fillId="13" borderId="4" applyNumberFormat="0" applyAlignment="0" applyProtection="0">
      <alignment vertical="center"/>
    </xf>
    <xf numFmtId="0" fontId="84" fillId="13" borderId="4" applyNumberFormat="0" applyAlignment="0" applyProtection="0">
      <alignment vertical="center"/>
    </xf>
    <xf numFmtId="0" fontId="84" fillId="13" borderId="4" applyNumberFormat="0" applyAlignment="0" applyProtection="0">
      <alignment vertical="center"/>
    </xf>
    <xf numFmtId="0" fontId="84" fillId="13" borderId="4" applyNumberFormat="0" applyAlignment="0" applyProtection="0">
      <alignment vertical="center"/>
    </xf>
    <xf numFmtId="0" fontId="84" fillId="13" borderId="4" applyNumberFormat="0" applyAlignment="0" applyProtection="0">
      <alignment vertical="center"/>
    </xf>
    <xf numFmtId="0" fontId="84" fillId="13" borderId="4" applyNumberFormat="0" applyAlignment="0" applyProtection="0">
      <alignment vertical="center"/>
    </xf>
    <xf numFmtId="0" fontId="84" fillId="13" borderId="4" applyNumberFormat="0" applyAlignment="0" applyProtection="0">
      <alignment vertical="center"/>
    </xf>
    <xf numFmtId="0" fontId="84" fillId="13" borderId="4" applyNumberFormat="0" applyAlignment="0" applyProtection="0">
      <alignment vertical="center"/>
    </xf>
    <xf numFmtId="0" fontId="84" fillId="13" borderId="4" applyNumberFormat="0" applyAlignment="0" applyProtection="0">
      <alignment vertical="center"/>
    </xf>
    <xf numFmtId="0" fontId="86" fillId="26" borderId="13" applyNumberFormat="0" applyAlignment="0" applyProtection="0">
      <alignment vertical="center"/>
    </xf>
    <xf numFmtId="0" fontId="86" fillId="26" borderId="13" applyNumberFormat="0" applyAlignment="0" applyProtection="0">
      <alignment vertical="center"/>
    </xf>
    <xf numFmtId="0" fontId="59" fillId="26" borderId="13" applyNumberFormat="0" applyAlignment="0" applyProtection="0">
      <alignment vertical="center"/>
    </xf>
    <xf numFmtId="0" fontId="86" fillId="26" borderId="13" applyNumberFormat="0" applyAlignment="0" applyProtection="0">
      <alignment vertical="center"/>
    </xf>
    <xf numFmtId="0" fontId="87" fillId="26" borderId="13" applyNumberFormat="0" applyAlignment="0" applyProtection="0">
      <alignment vertical="center"/>
    </xf>
    <xf numFmtId="0" fontId="86" fillId="26" borderId="13" applyNumberFormat="0" applyAlignment="0" applyProtection="0">
      <alignment vertical="center"/>
    </xf>
    <xf numFmtId="0" fontId="86" fillId="26" borderId="13" applyNumberFormat="0" applyAlignment="0" applyProtection="0">
      <alignment vertical="center"/>
    </xf>
    <xf numFmtId="0" fontId="86" fillId="26" borderId="13" applyNumberFormat="0" applyAlignment="0" applyProtection="0">
      <alignment vertical="center"/>
    </xf>
    <xf numFmtId="0" fontId="86" fillId="26" borderId="13" applyNumberFormat="0" applyAlignment="0" applyProtection="0">
      <alignment vertical="center"/>
    </xf>
    <xf numFmtId="0" fontId="86" fillId="26" borderId="13" applyNumberFormat="0" applyAlignment="0" applyProtection="0">
      <alignment vertical="center"/>
    </xf>
    <xf numFmtId="0" fontId="86" fillId="26" borderId="13" applyNumberFormat="0" applyAlignment="0" applyProtection="0">
      <alignment vertical="center"/>
    </xf>
    <xf numFmtId="0" fontId="86" fillId="26" borderId="13" applyNumberFormat="0" applyAlignment="0" applyProtection="0">
      <alignment vertical="center"/>
    </xf>
    <xf numFmtId="0" fontId="86" fillId="26" borderId="13" applyNumberFormat="0" applyAlignment="0" applyProtection="0">
      <alignment vertical="center"/>
    </xf>
    <xf numFmtId="0" fontId="86" fillId="26" borderId="13" applyNumberFormat="0" applyAlignment="0" applyProtection="0">
      <alignment vertical="center"/>
    </xf>
    <xf numFmtId="0" fontId="88" fillId="0" borderId="6" applyNumberFormat="0" applyFill="0" applyAlignment="0" applyProtection="0">
      <alignment vertical="center"/>
    </xf>
    <xf numFmtId="0" fontId="88" fillId="0" borderId="6" applyNumberFormat="0" applyFill="0" applyAlignment="0" applyProtection="0">
      <alignment vertical="center"/>
    </xf>
    <xf numFmtId="0" fontId="57" fillId="0" borderId="6" applyNumberFormat="0" applyFill="0" applyAlignment="0" applyProtection="0">
      <alignment vertical="center"/>
    </xf>
    <xf numFmtId="0" fontId="88" fillId="0" borderId="6" applyNumberFormat="0" applyFill="0" applyAlignment="0" applyProtection="0">
      <alignment vertical="center"/>
    </xf>
    <xf numFmtId="0" fontId="89" fillId="0" borderId="6" applyNumberFormat="0" applyFill="0" applyAlignment="0" applyProtection="0">
      <alignment vertical="center"/>
    </xf>
    <xf numFmtId="0" fontId="88" fillId="0" borderId="6" applyNumberFormat="0" applyFill="0" applyAlignment="0" applyProtection="0">
      <alignment vertical="center"/>
    </xf>
    <xf numFmtId="0" fontId="88" fillId="0" borderId="6" applyNumberFormat="0" applyFill="0" applyAlignment="0" applyProtection="0">
      <alignment vertical="center"/>
    </xf>
    <xf numFmtId="0" fontId="88" fillId="0" borderId="6" applyNumberFormat="0" applyFill="0" applyAlignment="0" applyProtection="0">
      <alignment vertical="center"/>
    </xf>
    <xf numFmtId="0" fontId="88" fillId="0" borderId="6" applyNumberFormat="0" applyFill="0" applyAlignment="0" applyProtection="0">
      <alignment vertical="center"/>
    </xf>
    <xf numFmtId="0" fontId="88" fillId="0" borderId="6" applyNumberFormat="0" applyFill="0" applyAlignment="0" applyProtection="0">
      <alignment vertical="center"/>
    </xf>
    <xf numFmtId="0" fontId="88" fillId="0" borderId="6" applyNumberFormat="0" applyFill="0" applyAlignment="0" applyProtection="0">
      <alignment vertical="center"/>
    </xf>
    <xf numFmtId="0" fontId="88" fillId="0" borderId="6" applyNumberFormat="0" applyFill="0" applyAlignment="0" applyProtection="0">
      <alignment vertical="center"/>
    </xf>
    <xf numFmtId="0" fontId="88" fillId="0" borderId="6" applyNumberFormat="0" applyFill="0" applyAlignment="0" applyProtection="0">
      <alignment vertical="center"/>
    </xf>
    <xf numFmtId="0" fontId="7" fillId="0" borderId="0"/>
    <xf numFmtId="0" fontId="7" fillId="0" borderId="0"/>
    <xf numFmtId="0" fontId="7" fillId="0" borderId="0"/>
    <xf numFmtId="0" fontId="7" fillId="0" borderId="0"/>
    <xf numFmtId="0" fontId="4" fillId="0" borderId="0"/>
    <xf numFmtId="0" fontId="4"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3" fillId="0" borderId="0"/>
    <xf numFmtId="43" fontId="7" fillId="0" borderId="0" applyFont="0" applyFill="0" applyBorder="0" applyAlignment="0" applyProtection="0"/>
    <xf numFmtId="0" fontId="7" fillId="0" borderId="0"/>
    <xf numFmtId="0" fontId="7" fillId="0" borderId="0"/>
    <xf numFmtId="0" fontId="3" fillId="0" borderId="0"/>
    <xf numFmtId="0" fontId="7" fillId="0" borderId="0"/>
    <xf numFmtId="0" fontId="3" fillId="0" borderId="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3" fillId="0" borderId="0"/>
    <xf numFmtId="0" fontId="7" fillId="0" borderId="0"/>
    <xf numFmtId="5" fontId="3"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7"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3"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lignment wrapText="1"/>
    </xf>
    <xf numFmtId="0" fontId="3" fillId="0" borderId="0"/>
    <xf numFmtId="0" fontId="7" fillId="0" borderId="0"/>
    <xf numFmtId="0" fontId="3" fillId="0" borderId="0"/>
    <xf numFmtId="0" fontId="7" fillId="0" borderId="0"/>
    <xf numFmtId="9" fontId="7" fillId="0" borderId="0" applyFont="0" applyFill="0" applyBorder="0" applyAlignment="0" applyProtection="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0" fontId="7" fillId="0" borderId="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0" fontId="7" fillId="0" borderId="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7" fontId="7" fillId="0" borderId="0" applyFont="0" applyFill="0" applyBorder="0" applyAlignment="0" applyProtection="0"/>
    <xf numFmtId="7" fontId="7" fillId="0" borderId="0" applyFont="0" applyFill="0" applyBorder="0" applyAlignment="0" applyProtection="0"/>
    <xf numFmtId="7" fontId="7" fillId="0" borderId="0" applyFont="0" applyFill="0" applyBorder="0" applyAlignment="0" applyProtection="0"/>
    <xf numFmtId="7"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3" fontId="7" fillId="0" borderId="0" applyFont="0" applyFill="0" applyBorder="0" applyAlignment="0" applyProtection="0"/>
    <xf numFmtId="41" fontId="7" fillId="0" borderId="0" applyFont="0" applyFill="0" applyBorder="0" applyAlignment="0" applyProtection="0"/>
    <xf numFmtId="44" fontId="7" fillId="0" borderId="0" applyFont="0" applyFill="0" applyBorder="0" applyAlignment="0" applyProtection="0"/>
    <xf numFmtId="44" fontId="7" fillId="0" borderId="0" applyFill="0" applyBorder="0" applyAlignment="0" applyProtection="0"/>
    <xf numFmtId="181" fontId="7" fillId="0" borderId="0" applyFill="0" applyBorder="0" applyAlignment="0" applyProtection="0"/>
    <xf numFmtId="44" fontId="7" fillId="0" borderId="0" applyFont="0" applyFill="0" applyBorder="0" applyAlignment="0" applyProtection="0"/>
    <xf numFmtId="44" fontId="7" fillId="0" borderId="0" applyFill="0" applyBorder="0" applyAlignment="0" applyProtection="0"/>
    <xf numFmtId="44" fontId="7" fillId="0" borderId="0" applyFont="0" applyFill="0" applyBorder="0" applyAlignment="0" applyProtection="0"/>
    <xf numFmtId="0" fontId="7" fillId="0" borderId="0" applyFont="0" applyFill="0" applyBorder="0" applyAlignment="0" applyProtection="0"/>
    <xf numFmtId="2"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11" applyNumberFormat="0" applyFill="0" applyAlignment="0"/>
    <xf numFmtId="171" fontId="7" fillId="0" borderId="0"/>
    <xf numFmtId="169" fontId="7" fillId="0" borderId="0"/>
    <xf numFmtId="0" fontId="7" fillId="0" borderId="0"/>
    <xf numFmtId="0" fontId="7" fillId="0" borderId="0"/>
    <xf numFmtId="0" fontId="7" fillId="0" borderId="0"/>
    <xf numFmtId="169" fontId="7" fillId="0" borderId="0"/>
    <xf numFmtId="0" fontId="3" fillId="0" borderId="0"/>
    <xf numFmtId="0" fontId="7"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7" fillId="0" borderId="0">
      <alignment wrapText="1"/>
    </xf>
    <xf numFmtId="0" fontId="7" fillId="0" borderId="0">
      <alignment wrapText="1"/>
    </xf>
    <xf numFmtId="0" fontId="7" fillId="0" borderId="0">
      <alignment wrapText="1"/>
    </xf>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7" fillId="0" borderId="0"/>
    <xf numFmtId="0" fontId="7" fillId="0" borderId="0">
      <alignment wrapText="1"/>
    </xf>
    <xf numFmtId="0" fontId="7" fillId="0" borderId="0"/>
    <xf numFmtId="0" fontId="7" fillId="0" borderId="0"/>
    <xf numFmtId="0" fontId="7" fillId="0" borderId="0"/>
    <xf numFmtId="0" fontId="7" fillId="0" borderId="0"/>
    <xf numFmtId="0" fontId="7" fillId="0" borderId="0"/>
    <xf numFmtId="0" fontId="7" fillId="0" borderId="0"/>
    <xf numFmtId="1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3" fillId="0" borderId="0"/>
    <xf numFmtId="0" fontId="7" fillId="0" borderId="0"/>
    <xf numFmtId="0" fontId="7" fillId="0" borderId="0"/>
    <xf numFmtId="0" fontId="7" fillId="0" borderId="0"/>
    <xf numFmtId="0" fontId="7" fillId="0" borderId="0"/>
    <xf numFmtId="0" fontId="7" fillId="31" borderId="12" applyNumberFormat="0" applyFont="0" applyAlignment="0" applyProtection="0">
      <alignment vertical="center"/>
    </xf>
    <xf numFmtId="0" fontId="7" fillId="31" borderId="12" applyNumberFormat="0" applyFont="0" applyAlignment="0" applyProtection="0">
      <alignment vertical="center"/>
    </xf>
    <xf numFmtId="0" fontId="7" fillId="31" borderId="12" applyNumberFormat="0" applyFont="0" applyAlignment="0" applyProtection="0">
      <alignment vertical="center"/>
    </xf>
    <xf numFmtId="0" fontId="7" fillId="31" borderId="12" applyNumberFormat="0" applyFont="0" applyAlignment="0" applyProtection="0">
      <alignment vertical="center"/>
    </xf>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5"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7" fillId="0" borderId="0"/>
    <xf numFmtId="41" fontId="1" fillId="0" borderId="0" applyFont="0" applyFill="0" applyBorder="0" applyAlignment="0" applyProtection="0"/>
    <xf numFmtId="0" fontId="16" fillId="0" borderId="0" applyNumberFormat="0" applyFill="0" applyBorder="0" applyAlignment="0" applyProtection="0"/>
    <xf numFmtId="0" fontId="112" fillId="0" borderId="0"/>
  </cellStyleXfs>
  <cellXfs count="64">
    <xf numFmtId="0" fontId="0" fillId="0" borderId="0" xfId="0"/>
    <xf numFmtId="0" fontId="104" fillId="0" borderId="2" xfId="8" applyFont="1" applyBorder="1" applyAlignment="1">
      <alignment horizontal="left" vertical="center" wrapText="1" indent="1"/>
    </xf>
    <xf numFmtId="0" fontId="103" fillId="0" borderId="2" xfId="8" quotePrefix="1" applyFont="1" applyBorder="1" applyAlignment="1">
      <alignment horizontal="left" vertical="center" wrapText="1" indent="1"/>
    </xf>
    <xf numFmtId="1" fontId="103" fillId="0" borderId="0" xfId="21" applyNumberFormat="1" applyFont="1"/>
    <xf numFmtId="1" fontId="103" fillId="2" borderId="0" xfId="21" applyNumberFormat="1" applyFont="1" applyFill="1"/>
    <xf numFmtId="43" fontId="103" fillId="5" borderId="0" xfId="10" applyFont="1" applyFill="1" applyAlignment="1">
      <alignment vertical="center"/>
    </xf>
    <xf numFmtId="0" fontId="105" fillId="4" borderId="2" xfId="0" applyFont="1" applyFill="1" applyBorder="1" applyAlignment="1">
      <alignment horizontal="center" vertical="center"/>
    </xf>
    <xf numFmtId="3" fontId="102" fillId="4" borderId="2" xfId="0" applyNumberFormat="1" applyFont="1" applyFill="1" applyBorder="1" applyAlignment="1">
      <alignment horizontal="center" vertical="center"/>
    </xf>
    <xf numFmtId="3" fontId="105" fillId="4" borderId="2" xfId="0" applyNumberFormat="1" applyFont="1" applyFill="1" applyBorder="1" applyAlignment="1">
      <alignment vertical="center"/>
    </xf>
    <xf numFmtId="1" fontId="103" fillId="0" borderId="0" xfId="21" applyNumberFormat="1" applyFont="1" applyAlignment="1">
      <alignment horizontal="center"/>
    </xf>
    <xf numFmtId="4" fontId="103" fillId="0" borderId="0" xfId="21" applyNumberFormat="1" applyFont="1" applyAlignment="1">
      <alignment horizontal="center"/>
    </xf>
    <xf numFmtId="4" fontId="103" fillId="0" borderId="1" xfId="21" applyNumberFormat="1" applyFont="1" applyBorder="1"/>
    <xf numFmtId="4" fontId="103" fillId="0" borderId="0" xfId="21" applyNumberFormat="1" applyFont="1"/>
    <xf numFmtId="43" fontId="103" fillId="5" borderId="0" xfId="1237" applyFont="1" applyFill="1" applyAlignment="1">
      <alignment vertical="center"/>
    </xf>
    <xf numFmtId="1" fontId="108" fillId="0" borderId="0" xfId="21" applyNumberFormat="1" applyFont="1"/>
    <xf numFmtId="0" fontId="103" fillId="0" borderId="2" xfId="1236" applyFont="1" applyBorder="1" applyAlignment="1">
      <alignment horizontal="left" vertical="center" indent="1"/>
    </xf>
    <xf numFmtId="1" fontId="104" fillId="2" borderId="2" xfId="1231" applyNumberFormat="1" applyFont="1" applyFill="1" applyBorder="1" applyAlignment="1">
      <alignment horizontal="center" vertical="center" wrapText="1"/>
    </xf>
    <xf numFmtId="4" fontId="104" fillId="2" borderId="2" xfId="1231" applyNumberFormat="1" applyFont="1" applyFill="1" applyBorder="1" applyAlignment="1">
      <alignment horizontal="center" vertical="center" wrapText="1"/>
    </xf>
    <xf numFmtId="4" fontId="104" fillId="2" borderId="2" xfId="1245" applyNumberFormat="1" applyFont="1" applyFill="1" applyBorder="1" applyAlignment="1">
      <alignment horizontal="center" vertical="center" wrapText="1"/>
    </xf>
    <xf numFmtId="4" fontId="104" fillId="3" borderId="2" xfId="1231" applyNumberFormat="1" applyFont="1" applyFill="1" applyBorder="1" applyAlignment="1">
      <alignment horizontal="center" vertical="center" wrapText="1"/>
    </xf>
    <xf numFmtId="3" fontId="104" fillId="3" borderId="2" xfId="1245" applyNumberFormat="1" applyFont="1" applyFill="1" applyBorder="1" applyAlignment="1">
      <alignment horizontal="center" vertical="center" wrapText="1"/>
    </xf>
    <xf numFmtId="0" fontId="107" fillId="0" borderId="2" xfId="0" applyFont="1" applyBorder="1" applyAlignment="1">
      <alignment horizontal="center" vertical="center" wrapText="1"/>
    </xf>
    <xf numFmtId="0" fontId="111" fillId="0" borderId="18" xfId="1469" applyFont="1" applyBorder="1" applyAlignment="1">
      <alignment vertical="top" wrapText="1"/>
    </xf>
    <xf numFmtId="0" fontId="111" fillId="0" borderId="2" xfId="0" applyFont="1" applyBorder="1" applyAlignment="1">
      <alignment horizontal="center" vertical="center"/>
    </xf>
    <xf numFmtId="165" fontId="107" fillId="0" borderId="2" xfId="1228" applyNumberFormat="1" applyFont="1" applyFill="1" applyBorder="1" applyAlignment="1">
      <alignment vertical="center"/>
    </xf>
    <xf numFmtId="165" fontId="107" fillId="0" borderId="2" xfId="1239" applyNumberFormat="1" applyFont="1" applyFill="1" applyBorder="1" applyAlignment="1">
      <alignment horizontal="center" vertical="center"/>
    </xf>
    <xf numFmtId="0" fontId="107" fillId="0" borderId="16" xfId="1557" quotePrefix="1" applyFont="1" applyBorder="1" applyAlignment="1" applyProtection="1">
      <alignment vertical="center" wrapText="1"/>
      <protection locked="0"/>
    </xf>
    <xf numFmtId="0" fontId="111" fillId="0" borderId="16" xfId="1557" quotePrefix="1" applyFont="1" applyBorder="1" applyAlignment="1" applyProtection="1">
      <alignment vertical="center" wrapText="1"/>
      <protection locked="0"/>
    </xf>
    <xf numFmtId="0" fontId="111" fillId="32" borderId="2" xfId="0" applyFont="1" applyFill="1" applyBorder="1" applyAlignment="1">
      <alignment horizontal="center" vertical="center"/>
    </xf>
    <xf numFmtId="165" fontId="107" fillId="32" borderId="2" xfId="1228" applyNumberFormat="1" applyFont="1" applyFill="1" applyBorder="1" applyAlignment="1">
      <alignment vertical="center"/>
    </xf>
    <xf numFmtId="0" fontId="111" fillId="0" borderId="3" xfId="1557" quotePrefix="1" applyFont="1" applyBorder="1" applyAlignment="1" applyProtection="1">
      <alignment vertical="center" wrapText="1"/>
      <protection locked="0"/>
    </xf>
    <xf numFmtId="1" fontId="111" fillId="0" borderId="2" xfId="1469" applyNumberFormat="1" applyFont="1" applyBorder="1" applyAlignment="1">
      <alignment horizontal="center" vertical="center"/>
    </xf>
    <xf numFmtId="0" fontId="107" fillId="32" borderId="2" xfId="0" applyFont="1" applyFill="1" applyBorder="1" applyAlignment="1">
      <alignment horizontal="center" vertical="center" wrapText="1"/>
    </xf>
    <xf numFmtId="0" fontId="111" fillId="32" borderId="2" xfId="0" applyFont="1" applyFill="1" applyBorder="1" applyAlignment="1">
      <alignment vertical="center" wrapText="1"/>
    </xf>
    <xf numFmtId="3" fontId="114" fillId="33" borderId="2" xfId="1231" applyNumberFormat="1" applyFont="1" applyFill="1" applyBorder="1" applyAlignment="1">
      <alignment horizontal="right" vertical="center" wrapText="1"/>
    </xf>
    <xf numFmtId="1" fontId="103" fillId="0" borderId="2" xfId="1246" quotePrefix="1" applyNumberFormat="1" applyFont="1" applyBorder="1" applyAlignment="1">
      <alignment horizontal="left" vertical="center"/>
    </xf>
    <xf numFmtId="1" fontId="103" fillId="0" borderId="2" xfId="1246" applyNumberFormat="1" applyFont="1" applyBorder="1" applyAlignment="1">
      <alignment horizontal="center" vertical="center" wrapText="1"/>
    </xf>
    <xf numFmtId="1" fontId="104" fillId="0" borderId="2" xfId="1" applyNumberFormat="1" applyFont="1" applyBorder="1" applyAlignment="1">
      <alignment horizontal="center" wrapText="1"/>
    </xf>
    <xf numFmtId="1" fontId="103" fillId="0" borderId="2" xfId="1246" applyNumberFormat="1" applyFont="1" applyBorder="1" applyAlignment="1">
      <alignment horizontal="left" indent="1"/>
    </xf>
    <xf numFmtId="1" fontId="113" fillId="0" borderId="2" xfId="1246" applyNumberFormat="1" applyFont="1" applyBorder="1" applyAlignment="1">
      <alignment horizontal="left" vertical="center"/>
    </xf>
    <xf numFmtId="1" fontId="113" fillId="0" borderId="15" xfId="1246" applyNumberFormat="1" applyFont="1" applyBorder="1" applyAlignment="1">
      <alignment horizontal="left" vertical="center"/>
    </xf>
    <xf numFmtId="1" fontId="103" fillId="0" borderId="2" xfId="1246" quotePrefix="1" applyNumberFormat="1" applyFont="1" applyBorder="1" applyAlignment="1">
      <alignment horizontal="left" vertical="center" wrapText="1"/>
    </xf>
    <xf numFmtId="0" fontId="107" fillId="0" borderId="16" xfId="1557" quotePrefix="1" applyFont="1" applyBorder="1" applyAlignment="1" applyProtection="1">
      <alignment horizontal="left" vertical="center" wrapText="1"/>
      <protection locked="0"/>
    </xf>
    <xf numFmtId="0" fontId="107" fillId="0" borderId="17" xfId="1557" quotePrefix="1" applyFont="1" applyBorder="1" applyAlignment="1" applyProtection="1">
      <alignment horizontal="left" vertical="center" wrapText="1"/>
      <protection locked="0"/>
    </xf>
    <xf numFmtId="0" fontId="105" fillId="4" borderId="2" xfId="0" applyFont="1" applyFill="1" applyBorder="1" applyAlignment="1">
      <alignment horizontal="left" vertical="center"/>
    </xf>
    <xf numFmtId="1" fontId="114" fillId="33" borderId="2" xfId="1231" applyNumberFormat="1" applyFont="1" applyFill="1" applyBorder="1" applyAlignment="1">
      <alignment horizontal="right" vertical="center" wrapText="1"/>
    </xf>
    <xf numFmtId="0" fontId="104" fillId="0" borderId="2" xfId="1234" applyFont="1" applyBorder="1" applyAlignment="1">
      <alignment horizontal="left" vertical="center" indent="1"/>
    </xf>
    <xf numFmtId="4" fontId="16" fillId="0" borderId="2" xfId="1556" applyNumberFormat="1" applyBorder="1" applyAlignment="1" applyProtection="1">
      <alignment horizontal="left" vertical="center" indent="1"/>
    </xf>
    <xf numFmtId="4" fontId="110" fillId="0" borderId="2" xfId="9" applyNumberFormat="1" applyFont="1" applyBorder="1" applyAlignment="1" applyProtection="1">
      <alignment horizontal="left" vertical="center" indent="1"/>
    </xf>
    <xf numFmtId="0" fontId="104" fillId="0" borderId="16" xfId="1231" applyFont="1" applyBorder="1" applyAlignment="1">
      <alignment horizontal="center" vertical="center"/>
    </xf>
    <xf numFmtId="0" fontId="104" fillId="0" borderId="3" xfId="1231" applyFont="1" applyBorder="1" applyAlignment="1">
      <alignment horizontal="center" vertical="center"/>
    </xf>
    <xf numFmtId="0" fontId="104" fillId="0" borderId="17" xfId="1231" applyFont="1" applyBorder="1" applyAlignment="1">
      <alignment horizontal="center" vertical="center"/>
    </xf>
    <xf numFmtId="1" fontId="104" fillId="3" borderId="2" xfId="1231" applyNumberFormat="1" applyFont="1" applyFill="1" applyBorder="1" applyAlignment="1">
      <alignment horizontal="center" vertical="center" wrapText="1"/>
    </xf>
    <xf numFmtId="14" fontId="104" fillId="0" borderId="2" xfId="1239" applyNumberFormat="1" applyFont="1" applyBorder="1" applyAlignment="1">
      <alignment horizontal="left" vertical="center" indent="1"/>
    </xf>
    <xf numFmtId="1" fontId="103" fillId="0" borderId="2" xfId="1239" applyNumberFormat="1" applyFont="1" applyBorder="1" applyAlignment="1">
      <alignment horizontal="left" vertical="center" indent="1"/>
    </xf>
    <xf numFmtId="1" fontId="103" fillId="0" borderId="0" xfId="21" applyNumberFormat="1" applyFont="1" applyAlignment="1">
      <alignment horizontal="left" vertical="top" wrapText="1"/>
    </xf>
    <xf numFmtId="1" fontId="103" fillId="0" borderId="0" xfId="21" applyNumberFormat="1" applyFont="1" applyAlignment="1">
      <alignment horizontal="left" vertical="top"/>
    </xf>
    <xf numFmtId="1" fontId="103" fillId="0" borderId="2" xfId="21" applyNumberFormat="1" applyFont="1" applyBorder="1" applyAlignment="1">
      <alignment horizontal="center" wrapText="1"/>
    </xf>
    <xf numFmtId="1" fontId="103" fillId="0" borderId="15" xfId="21" applyNumberFormat="1" applyFont="1" applyBorder="1" applyAlignment="1">
      <alignment horizontal="center" wrapText="1"/>
    </xf>
    <xf numFmtId="0" fontId="109" fillId="0" borderId="2" xfId="1231" applyFont="1" applyBorder="1" applyAlignment="1">
      <alignment horizontal="center" vertical="center" wrapText="1"/>
    </xf>
    <xf numFmtId="0" fontId="109" fillId="0" borderId="2" xfId="1231" applyFont="1" applyBorder="1" applyAlignment="1">
      <alignment horizontal="center" vertical="center"/>
    </xf>
    <xf numFmtId="0" fontId="104" fillId="0" borderId="2" xfId="1232" applyFont="1" applyBorder="1" applyAlignment="1">
      <alignment horizontal="center" vertical="center" wrapText="1"/>
    </xf>
    <xf numFmtId="0" fontId="103" fillId="0" borderId="2" xfId="1288" applyFont="1" applyBorder="1" applyAlignment="1">
      <alignment horizontal="right"/>
    </xf>
    <xf numFmtId="14" fontId="103" fillId="0" borderId="2" xfId="1239" applyNumberFormat="1" applyFont="1" applyBorder="1" applyAlignment="1">
      <alignment horizontal="left" vertical="center" indent="1"/>
    </xf>
  </cellXfs>
  <cellStyles count="1558">
    <cellStyle name="_x000d__x000a_JournalTemplate=C:\COMFO\CTALK\JOURSTD.TPL_x000d__x000a_LbStateAddress=3 3 0 251 1 89 2 311_x000d__x000a_LbStateJou" xfId="42" xr:uid="{00000000-0005-0000-0000-000000000000}"/>
    <cellStyle name="_x000d__x000a_JournalTemplate=C:\COMFO\CTALK\JOURSTD.TPL_x000d__x000a_LbStateAddress=3 3 0 251 1 89 2 311_x000d__x000a_LbStateJou 2" xfId="43" xr:uid="{00000000-0005-0000-0000-000001000000}"/>
    <cellStyle name="%" xfId="146" xr:uid="{00000000-0005-0000-0000-000002000000}"/>
    <cellStyle name="% 2" xfId="1327" xr:uid="{00000000-0005-0000-0000-000003000000}"/>
    <cellStyle name="??_kc-elec system check list" xfId="139" xr:uid="{00000000-0005-0000-0000-000004000000}"/>
    <cellStyle name="_080422_Server_Barebone_PriceList_May2008_r0" xfId="111" xr:uid="{00000000-0005-0000-0000-000005000000}"/>
    <cellStyle name="_080519_Server_Barebone_PriceList_Jun_2008_r01" xfId="103" xr:uid="{00000000-0005-0000-0000-000006000000}"/>
    <cellStyle name="_ACER PC T09-2008" xfId="29" xr:uid="{00000000-0005-0000-0000-000007000000}"/>
    <cellStyle name="_Bang gia PC, Server HP - IBM cap nhat 19-07-2008 (Dealer)" xfId="108" xr:uid="{00000000-0005-0000-0000-000008000000}"/>
    <cellStyle name="_Bang gia PC, Server HP - IBM cap nhat 19-07-2008 (Dealer) 2" xfId="1305" xr:uid="{00000000-0005-0000-0000-000009000000}"/>
    <cellStyle name="_Bang gia PC, Server HP - IBM cap nhat 19-07-2008 (Dealer)_Bang gia PC, Server HP - IBM cap nhat 16-09-2008 (Dealer)" xfId="153" xr:uid="{00000000-0005-0000-0000-00000A000000}"/>
    <cellStyle name="_Bang gia PC, Server HP - IBM cap nhat 19-07-2008 (Dealer)_Bang gia PC, Server HP - IBM cap nhat 16-09-2008 (Dealer) 2" xfId="1333" xr:uid="{00000000-0005-0000-0000-00000B000000}"/>
    <cellStyle name="_Bang gia PC, Server HP - IBM cap nhat 19-07-2008 (Dealer)_Gia Cost" xfId="116" xr:uid="{00000000-0005-0000-0000-00000C000000}"/>
    <cellStyle name="_Bang gia PC, Server HP - IBM cap nhat 19-07-2008 (Dealer)_Gia Cost 2" xfId="1309" xr:uid="{00000000-0005-0000-0000-00000D000000}"/>
    <cellStyle name="_Bang gia PC, Server HP - IBM cap nhat 22-08-2008 (Dealer)" xfId="125" xr:uid="{00000000-0005-0000-0000-00000E000000}"/>
    <cellStyle name="_Bang gia PC, Server HP - IBM cap nhat 22-08-2008 (Dealer) 2" xfId="1312" xr:uid="{00000000-0005-0000-0000-00000F000000}"/>
    <cellStyle name="_Bang gia PC, Server HP - IBM cap nhat 22-08-2008 (Dealer)_Gia Cost" xfId="35" xr:uid="{00000000-0005-0000-0000-000010000000}"/>
    <cellStyle name="_Bang gia PC, Server HP - IBM cap nhat 22-08-2008 (Dealer)_Gia Cost 2" xfId="1255" xr:uid="{00000000-0005-0000-0000-000011000000}"/>
    <cellStyle name="_Bang gia PC, Server HP - IBM cap nhat 26-08-2008 (Dealer)" xfId="24" xr:uid="{00000000-0005-0000-0000-000012000000}"/>
    <cellStyle name="_Bang gia PC, Server HP - IBM cap nhat 26-08-2008 (Dealer) 2" xfId="1248" xr:uid="{00000000-0005-0000-0000-000013000000}"/>
    <cellStyle name="_Bang gia PC, Server HP - IBM cap nhat 26-08-2008 (Dealer)_Gia Cost" xfId="154" xr:uid="{00000000-0005-0000-0000-000014000000}"/>
    <cellStyle name="_Bang gia PC, Server HP - IBM cap nhat 26-08-2008 (Dealer)_Gia Cost 2" xfId="1334" xr:uid="{00000000-0005-0000-0000-000015000000}"/>
    <cellStyle name="_Bang gia PC, Server HP - IBM cap nhat 31-07-2008 (Dealer)" xfId="157" xr:uid="{00000000-0005-0000-0000-000016000000}"/>
    <cellStyle name="_Bang gia PC, Server HP - IBM cap nhat 31-07-2008 (Dealer) 2" xfId="1337" xr:uid="{00000000-0005-0000-0000-000017000000}"/>
    <cellStyle name="_Bang gia PC, Server HP - IBM cap nhat 31-07-2008 (Dealer)_Bang gia PC, Server HP - IBM cap nhat 16-09-2008 (Dealer)" xfId="102" xr:uid="{00000000-0005-0000-0000-000018000000}"/>
    <cellStyle name="_Bang gia PC, Server HP - IBM cap nhat 31-07-2008 (Dealer)_Bang gia PC, Server HP - IBM cap nhat 16-09-2008 (Dealer) 2" xfId="1300" xr:uid="{00000000-0005-0000-0000-000019000000}"/>
    <cellStyle name="_Bang gia PC, Server HP - IBM cap nhat 31-07-2008 (Dealer)_Gia Cost" xfId="126" xr:uid="{00000000-0005-0000-0000-00001A000000}"/>
    <cellStyle name="_Bang gia PC, Server HP - IBM cap nhat 31-07-2008 (Dealer)_Gia Cost 2" xfId="1313" xr:uid="{00000000-0005-0000-0000-00001B000000}"/>
    <cellStyle name="_Bao gia PC Stock cho dai ly" xfId="127" xr:uid="{00000000-0005-0000-0000-00001C000000}"/>
    <cellStyle name="_Bao gia PC Stock cho dai ly 2" xfId="1314" xr:uid="{00000000-0005-0000-0000-00001D000000}"/>
    <cellStyle name="_Bao gia PC Stock cho dai ly_Bang gia PC, Server HP - IBM cap nhat 16-09-2008 (Dealer)" xfId="123" xr:uid="{00000000-0005-0000-0000-00001E000000}"/>
    <cellStyle name="_Bao gia PC Stock cho dai ly_Bang gia PC, Server HP - IBM cap nhat 16-09-2008 (Dealer) 2" xfId="1311" xr:uid="{00000000-0005-0000-0000-00001F000000}"/>
    <cellStyle name="_Bao gia PC Stock cho dai ly_Gia Cost" xfId="134" xr:uid="{00000000-0005-0000-0000-000020000000}"/>
    <cellStyle name="_Bao gia PC Stock cho dai ly_Gia Cost 2" xfId="1320" xr:uid="{00000000-0005-0000-0000-000021000000}"/>
    <cellStyle name="_BG PC Stock cho dai ly" xfId="136" xr:uid="{00000000-0005-0000-0000-000022000000}"/>
    <cellStyle name="_BG PC Stock cho dai ly 2" xfId="1322" xr:uid="{00000000-0005-0000-0000-000023000000}"/>
    <cellStyle name="_BG PC Stock cho dai ly_Bang gia PC, Server HP - IBM cap nhat 16-09-2008 (Dealer)" xfId="137" xr:uid="{00000000-0005-0000-0000-000024000000}"/>
    <cellStyle name="_BG PC Stock cho dai ly_Bang gia PC, Server HP - IBM cap nhat 16-09-2008 (Dealer) 2" xfId="1323" xr:uid="{00000000-0005-0000-0000-000025000000}"/>
    <cellStyle name="_BG PC Stock cho dai ly_Gia Cost" xfId="135" xr:uid="{00000000-0005-0000-0000-000026000000}"/>
    <cellStyle name="_BG PC Stock cho dai ly_Gia Cost 2" xfId="1321" xr:uid="{00000000-0005-0000-0000-000027000000}"/>
    <cellStyle name="_Gia Cost" xfId="120" xr:uid="{00000000-0005-0000-0000-000028000000}"/>
    <cellStyle name="_Gia Cost_Bang gia PC, Server HP - IBM cap nhat 16-09-2008 (Dealer)" xfId="118" xr:uid="{00000000-0005-0000-0000-000029000000}"/>
    <cellStyle name="_Gia Cost_Gia Cost" xfId="115" xr:uid="{00000000-0005-0000-0000-00002A000000}"/>
    <cellStyle name="_HP ProCurve Switch" xfId="39" xr:uid="{00000000-0005-0000-0000-00002B000000}"/>
    <cellStyle name="_Server PriceList_Jul2008" xfId="101" xr:uid="{00000000-0005-0000-0000-00002C000000}"/>
    <cellStyle name="_Server PriceList_Jul2008 2" xfId="151" xr:uid="{00000000-0005-0000-0000-00002D000000}"/>
    <cellStyle name="_Server PriceList_Jul2008 2 2" xfId="114" xr:uid="{00000000-0005-0000-0000-00002E000000}"/>
    <cellStyle name="_Server PriceList_Jul2008 2 2 2" xfId="1308" xr:uid="{00000000-0005-0000-0000-00002F000000}"/>
    <cellStyle name="_Server PriceList_Jul2008 2 3" xfId="1331" xr:uid="{00000000-0005-0000-0000-000030000000}"/>
    <cellStyle name="_Server PriceList_Jul2008 2_AMD MB 2011 APR Price List _PSD1" xfId="106" xr:uid="{00000000-0005-0000-0000-000031000000}"/>
    <cellStyle name="_Server PriceList_Jul2008 2_AMD MB 2011 APR Price List _PSD1 2" xfId="143" xr:uid="{00000000-0005-0000-0000-000032000000}"/>
    <cellStyle name="_Server PriceList_Jul2008 2_AMD MB 2011 APR Price List _PSD1 2 2" xfId="1326" xr:uid="{00000000-0005-0000-0000-000033000000}"/>
    <cellStyle name="_Server PriceList_Jul2008 2_AMD MB 2011 APR Price List _PSD1 3" xfId="1303" xr:uid="{00000000-0005-0000-0000-000034000000}"/>
    <cellStyle name="_Server PriceList_Jul2008 2_Bang Gia AMD MB" xfId="156" xr:uid="{00000000-0005-0000-0000-000035000000}"/>
    <cellStyle name="_Server PriceList_Jul2008 2_Bang Gia AMD MB 2" xfId="128" xr:uid="{00000000-0005-0000-0000-000036000000}"/>
    <cellStyle name="_Server PriceList_Jul2008 2_Bang Gia AMD MB 2 2" xfId="1315" xr:uid="{00000000-0005-0000-0000-000037000000}"/>
    <cellStyle name="_Server PriceList_Jul2008 2_Bang Gia AMD MB 3" xfId="1336" xr:uid="{00000000-0005-0000-0000-000038000000}"/>
    <cellStyle name="_Server PriceList_Jul2008 3" xfId="155" xr:uid="{00000000-0005-0000-0000-000039000000}"/>
    <cellStyle name="_Server PriceList_Jul2008 3 2" xfId="1335" xr:uid="{00000000-0005-0000-0000-00003A000000}"/>
    <cellStyle name="_Server PriceList_Jul2008 4" xfId="1299" xr:uid="{00000000-0005-0000-0000-00003B000000}"/>
    <cellStyle name="_Server PriceList_Jul2008_AMD MB 2011 APR Price List _PSD1" xfId="105" xr:uid="{00000000-0005-0000-0000-00003C000000}"/>
    <cellStyle name="_Server PriceList_Jul2008_AMD MB 2011 APR Price List _PSD1 2" xfId="141" xr:uid="{00000000-0005-0000-0000-00003D000000}"/>
    <cellStyle name="_Server PriceList_Jul2008_AMD MB 2011 APR Price List _PSD1 2 2" xfId="1325" xr:uid="{00000000-0005-0000-0000-00003E000000}"/>
    <cellStyle name="_Server PriceList_Jul2008_AMD MB 2011 APR Price List _PSD1 3" xfId="1302" xr:uid="{00000000-0005-0000-0000-00003F000000}"/>
    <cellStyle name="_Server PriceList_Jul2008_Bang Gia AMD MB" xfId="152" xr:uid="{00000000-0005-0000-0000-000040000000}"/>
    <cellStyle name="_Server PriceList_Jul2008_Bang Gia AMD MB 2" xfId="104" xr:uid="{00000000-0005-0000-0000-000041000000}"/>
    <cellStyle name="_Server PriceList_Jul2008_Bang Gia AMD MB 2 2" xfId="1301" xr:uid="{00000000-0005-0000-0000-000042000000}"/>
    <cellStyle name="_Server PriceList_Jul2008_Bang Gia AMD MB 3" xfId="1332" xr:uid="{00000000-0005-0000-0000-000043000000}"/>
    <cellStyle name="_Sheet1" xfId="129" xr:uid="{00000000-0005-0000-0000-000044000000}"/>
    <cellStyle name="_Sheet1 2" xfId="28" xr:uid="{00000000-0005-0000-0000-000045000000}"/>
    <cellStyle name="_Sheet1 2 2" xfId="1250" xr:uid="{00000000-0005-0000-0000-000046000000}"/>
    <cellStyle name="_Sheet1 3" xfId="1316" xr:uid="{00000000-0005-0000-0000-000047000000}"/>
    <cellStyle name="_Sheet1_1" xfId="40" xr:uid="{00000000-0005-0000-0000-000048000000}"/>
    <cellStyle name="_Sheet1_AMD MB 2011 APR Price List _PSD1" xfId="150" xr:uid="{00000000-0005-0000-0000-000049000000}"/>
    <cellStyle name="_Sheet1_AMD MB 2011 APR Price List _PSD1 2" xfId="140" xr:uid="{00000000-0005-0000-0000-00004A000000}"/>
    <cellStyle name="_Sheet1_AMD MB 2011 APR Price List _PSD1 2 2" xfId="1324" xr:uid="{00000000-0005-0000-0000-00004B000000}"/>
    <cellStyle name="_Sheet1_AMD MB 2011 APR Price List _PSD1 3" xfId="1330" xr:uid="{00000000-0005-0000-0000-00004C000000}"/>
    <cellStyle name="_Sheet1_Bang Gia AMD MB" xfId="148" xr:uid="{00000000-0005-0000-0000-00004D000000}"/>
    <cellStyle name="_Sheet1_Bang Gia AMD MB 2" xfId="130" xr:uid="{00000000-0005-0000-0000-00004E000000}"/>
    <cellStyle name="_Sheet1_Bang Gia AMD MB 2 2" xfId="1317" xr:uid="{00000000-0005-0000-0000-00004F000000}"/>
    <cellStyle name="_Sheet1_Bang Gia AMD MB 3" xfId="1329" xr:uid="{00000000-0005-0000-0000-000050000000}"/>
    <cellStyle name="_Summary" xfId="23" xr:uid="{00000000-0005-0000-0000-000051000000}"/>
    <cellStyle name="_SVR MB" xfId="113" xr:uid="{00000000-0005-0000-0000-000052000000}"/>
    <cellStyle name="_SVR_BB" xfId="32" xr:uid="{00000000-0005-0000-0000-000053000000}"/>
    <cellStyle name="_SVR_Option" xfId="144" xr:uid="{00000000-0005-0000-0000-000054000000}"/>
    <cellStyle name="_What's new" xfId="121" xr:uid="{00000000-0005-0000-0000-000055000000}"/>
    <cellStyle name="_What's new 2" xfId="131" xr:uid="{00000000-0005-0000-0000-000056000000}"/>
    <cellStyle name="_What's new 2 2" xfId="1318" xr:uid="{00000000-0005-0000-0000-000057000000}"/>
    <cellStyle name="_What's new 3" xfId="1310" xr:uid="{00000000-0005-0000-0000-000058000000}"/>
    <cellStyle name="_What's new_AMD MB 2011 APR Price List _PSD1" xfId="107" xr:uid="{00000000-0005-0000-0000-000059000000}"/>
    <cellStyle name="_What's new_AMD MB 2011 APR Price List _PSD1 2" xfId="27" xr:uid="{00000000-0005-0000-0000-00005A000000}"/>
    <cellStyle name="_What's new_AMD MB 2011 APR Price List _PSD1 2 2" xfId="1249" xr:uid="{00000000-0005-0000-0000-00005B000000}"/>
    <cellStyle name="_What's new_AMD MB 2011 APR Price List _PSD1 3" xfId="1304" xr:uid="{00000000-0005-0000-0000-00005C000000}"/>
    <cellStyle name="_What's new_Bang Gia AMD MB" xfId="33" xr:uid="{00000000-0005-0000-0000-00005D000000}"/>
    <cellStyle name="_What's new_Bang Gia AMD MB 2" xfId="112" xr:uid="{00000000-0005-0000-0000-00005E000000}"/>
    <cellStyle name="_What's new_Bang Gia AMD MB 2 2" xfId="1307" xr:uid="{00000000-0005-0000-0000-00005F000000}"/>
    <cellStyle name="_What's new_Bang Gia AMD MB 3" xfId="1253" xr:uid="{00000000-0005-0000-0000-000060000000}"/>
    <cellStyle name="_WS MB" xfId="147" xr:uid="{00000000-0005-0000-0000-000061000000}"/>
    <cellStyle name="_WS MB 2" xfId="158" xr:uid="{00000000-0005-0000-0000-000062000000}"/>
    <cellStyle name="_WS MB 2 2" xfId="1338" xr:uid="{00000000-0005-0000-0000-000063000000}"/>
    <cellStyle name="_WS MB 3" xfId="1328" xr:uid="{00000000-0005-0000-0000-000064000000}"/>
    <cellStyle name="_WS MB_1" xfId="26" xr:uid="{00000000-0005-0000-0000-000065000000}"/>
    <cellStyle name="_WS MB_AMD MB 2011 APR Price List _PSD1" xfId="31" xr:uid="{00000000-0005-0000-0000-000066000000}"/>
    <cellStyle name="_WS MB_AMD MB 2011 APR Price List _PSD1 2" xfId="30" xr:uid="{00000000-0005-0000-0000-000067000000}"/>
    <cellStyle name="_WS MB_AMD MB 2011 APR Price List _PSD1 2 2" xfId="1251" xr:uid="{00000000-0005-0000-0000-000068000000}"/>
    <cellStyle name="_WS MB_AMD MB 2011 APR Price List _PSD1 3" xfId="1252" xr:uid="{00000000-0005-0000-0000-000069000000}"/>
    <cellStyle name="_WS MB_Bang Gia AMD MB" xfId="132" xr:uid="{00000000-0005-0000-0000-00006A000000}"/>
    <cellStyle name="_WS MB_Bang Gia AMD MB 2" xfId="22" xr:uid="{00000000-0005-0000-0000-00006B000000}"/>
    <cellStyle name="_WS MB_Bang Gia AMD MB 2 2" xfId="1247" xr:uid="{00000000-0005-0000-0000-00006C000000}"/>
    <cellStyle name="_WS MB_Bang Gia AMD MB 3" xfId="1319" xr:uid="{00000000-0005-0000-0000-00006D000000}"/>
    <cellStyle name="0,0_x000a__x000a_NA_x000a__x000a_" xfId="109" xr:uid="{00000000-0005-0000-0000-00006E000000}"/>
    <cellStyle name="0,0_x000a__x000a_NA_x000a__x000a_ 2" xfId="1306" xr:uid="{00000000-0005-0000-0000-00006F000000}"/>
    <cellStyle name="0,0_x000d__x000a_NA_x000d__x000a__Phong 100 m3" xfId="19" xr:uid="{00000000-0005-0000-0000-000070000000}"/>
    <cellStyle name="20% - Accent1 2" xfId="25" xr:uid="{00000000-0005-0000-0000-000071000000}"/>
    <cellStyle name="20% - Accent1 3" xfId="138" xr:uid="{00000000-0005-0000-0000-000072000000}"/>
    <cellStyle name="20% - Accent2 2" xfId="110" xr:uid="{00000000-0005-0000-0000-000073000000}"/>
    <cellStyle name="20% - Accent2 3" xfId="149" xr:uid="{00000000-0005-0000-0000-000074000000}"/>
    <cellStyle name="20% - Accent3 2" xfId="145" xr:uid="{00000000-0005-0000-0000-000075000000}"/>
    <cellStyle name="20% - Accent3 3" xfId="142" xr:uid="{00000000-0005-0000-0000-000076000000}"/>
    <cellStyle name="20% - Accent4 2" xfId="122" xr:uid="{00000000-0005-0000-0000-000077000000}"/>
    <cellStyle name="20% - Accent4 3" xfId="117" xr:uid="{00000000-0005-0000-0000-000078000000}"/>
    <cellStyle name="20% - Accent5 2" xfId="133" xr:uid="{00000000-0005-0000-0000-000079000000}"/>
    <cellStyle name="20% - Accent5 3" xfId="119" xr:uid="{00000000-0005-0000-0000-00007A000000}"/>
    <cellStyle name="20% - Accent6 2" xfId="124" xr:uid="{00000000-0005-0000-0000-00007B000000}"/>
    <cellStyle name="20% - Accent6 3" xfId="159" xr:uid="{00000000-0005-0000-0000-00007C000000}"/>
    <cellStyle name="20% - 輔色1" xfId="160" xr:uid="{00000000-0005-0000-0000-00007D000000}"/>
    <cellStyle name="20% - 輔色1 10" xfId="161" xr:uid="{00000000-0005-0000-0000-00007E000000}"/>
    <cellStyle name="20% - 輔色1 11" xfId="162" xr:uid="{00000000-0005-0000-0000-00007F000000}"/>
    <cellStyle name="20% - 輔色1 2" xfId="163" xr:uid="{00000000-0005-0000-0000-000080000000}"/>
    <cellStyle name="20% - 輔色1 2 2" xfId="164" xr:uid="{00000000-0005-0000-0000-000081000000}"/>
    <cellStyle name="20% - 輔色1 3" xfId="165" xr:uid="{00000000-0005-0000-0000-000082000000}"/>
    <cellStyle name="20% - 輔色1 4" xfId="166" xr:uid="{00000000-0005-0000-0000-000083000000}"/>
    <cellStyle name="20% - 輔色1 5" xfId="167" xr:uid="{00000000-0005-0000-0000-000084000000}"/>
    <cellStyle name="20% - 輔色1 6" xfId="168" xr:uid="{00000000-0005-0000-0000-000085000000}"/>
    <cellStyle name="20% - 輔色1 7" xfId="169" xr:uid="{00000000-0005-0000-0000-000086000000}"/>
    <cellStyle name="20% - 輔色1 8" xfId="170" xr:uid="{00000000-0005-0000-0000-000087000000}"/>
    <cellStyle name="20% - 輔色1 9" xfId="171" xr:uid="{00000000-0005-0000-0000-000088000000}"/>
    <cellStyle name="20% - 輔色1_AMD MB 2011 APR Price List _PSD1" xfId="172" xr:uid="{00000000-0005-0000-0000-000089000000}"/>
    <cellStyle name="20% - 輔色2" xfId="173" xr:uid="{00000000-0005-0000-0000-00008A000000}"/>
    <cellStyle name="20% - 輔色2 10" xfId="174" xr:uid="{00000000-0005-0000-0000-00008B000000}"/>
    <cellStyle name="20% - 輔色2 11" xfId="175" xr:uid="{00000000-0005-0000-0000-00008C000000}"/>
    <cellStyle name="20% - 輔色2 2" xfId="176" xr:uid="{00000000-0005-0000-0000-00008D000000}"/>
    <cellStyle name="20% - 輔色2 2 2" xfId="177" xr:uid="{00000000-0005-0000-0000-00008E000000}"/>
    <cellStyle name="20% - 輔色2 3" xfId="178" xr:uid="{00000000-0005-0000-0000-00008F000000}"/>
    <cellStyle name="20% - 輔色2 4" xfId="179" xr:uid="{00000000-0005-0000-0000-000090000000}"/>
    <cellStyle name="20% - 輔色2 5" xfId="180" xr:uid="{00000000-0005-0000-0000-000091000000}"/>
    <cellStyle name="20% - 輔色2 6" xfId="181" xr:uid="{00000000-0005-0000-0000-000092000000}"/>
    <cellStyle name="20% - 輔色2 7" xfId="182" xr:uid="{00000000-0005-0000-0000-000093000000}"/>
    <cellStyle name="20% - 輔色2 8" xfId="183" xr:uid="{00000000-0005-0000-0000-000094000000}"/>
    <cellStyle name="20% - 輔色2 9" xfId="184" xr:uid="{00000000-0005-0000-0000-000095000000}"/>
    <cellStyle name="20% - 輔色2_AMD MB 2011 APR Price List _PSD1" xfId="185" xr:uid="{00000000-0005-0000-0000-000096000000}"/>
    <cellStyle name="20% - 輔色3" xfId="186" xr:uid="{00000000-0005-0000-0000-000097000000}"/>
    <cellStyle name="20% - 輔色3 10" xfId="187" xr:uid="{00000000-0005-0000-0000-000098000000}"/>
    <cellStyle name="20% - 輔色3 11" xfId="188" xr:uid="{00000000-0005-0000-0000-000099000000}"/>
    <cellStyle name="20% - 輔色3 2" xfId="189" xr:uid="{00000000-0005-0000-0000-00009A000000}"/>
    <cellStyle name="20% - 輔色3 2 2" xfId="190" xr:uid="{00000000-0005-0000-0000-00009B000000}"/>
    <cellStyle name="20% - 輔色3 3" xfId="191" xr:uid="{00000000-0005-0000-0000-00009C000000}"/>
    <cellStyle name="20% - 輔色3 4" xfId="192" xr:uid="{00000000-0005-0000-0000-00009D000000}"/>
    <cellStyle name="20% - 輔色3 5" xfId="193" xr:uid="{00000000-0005-0000-0000-00009E000000}"/>
    <cellStyle name="20% - 輔色3 6" xfId="194" xr:uid="{00000000-0005-0000-0000-00009F000000}"/>
    <cellStyle name="20% - 輔色3 7" xfId="195" xr:uid="{00000000-0005-0000-0000-0000A0000000}"/>
    <cellStyle name="20% - 輔色3 8" xfId="196" xr:uid="{00000000-0005-0000-0000-0000A1000000}"/>
    <cellStyle name="20% - 輔色3 9" xfId="197" xr:uid="{00000000-0005-0000-0000-0000A2000000}"/>
    <cellStyle name="20% - 輔色3_AMD MB 2011 APR Price List _PSD1" xfId="198" xr:uid="{00000000-0005-0000-0000-0000A3000000}"/>
    <cellStyle name="20% - 輔色4" xfId="199" xr:uid="{00000000-0005-0000-0000-0000A4000000}"/>
    <cellStyle name="20% - 輔色4 10" xfId="200" xr:uid="{00000000-0005-0000-0000-0000A5000000}"/>
    <cellStyle name="20% - 輔色4 11" xfId="201" xr:uid="{00000000-0005-0000-0000-0000A6000000}"/>
    <cellStyle name="20% - 輔色4 2" xfId="202" xr:uid="{00000000-0005-0000-0000-0000A7000000}"/>
    <cellStyle name="20% - 輔色4 2 2" xfId="203" xr:uid="{00000000-0005-0000-0000-0000A8000000}"/>
    <cellStyle name="20% - 輔色4 3" xfId="204" xr:uid="{00000000-0005-0000-0000-0000A9000000}"/>
    <cellStyle name="20% - 輔色4 4" xfId="205" xr:uid="{00000000-0005-0000-0000-0000AA000000}"/>
    <cellStyle name="20% - 輔色4 5" xfId="206" xr:uid="{00000000-0005-0000-0000-0000AB000000}"/>
    <cellStyle name="20% - 輔色4 6" xfId="207" xr:uid="{00000000-0005-0000-0000-0000AC000000}"/>
    <cellStyle name="20% - 輔色4 7" xfId="208" xr:uid="{00000000-0005-0000-0000-0000AD000000}"/>
    <cellStyle name="20% - 輔色4 8" xfId="209" xr:uid="{00000000-0005-0000-0000-0000AE000000}"/>
    <cellStyle name="20% - 輔色4 9" xfId="210" xr:uid="{00000000-0005-0000-0000-0000AF000000}"/>
    <cellStyle name="20% - 輔色4_AMD MB 2011 APR Price List _PSD1" xfId="211" xr:uid="{00000000-0005-0000-0000-0000B0000000}"/>
    <cellStyle name="20% - 輔色5" xfId="212" xr:uid="{00000000-0005-0000-0000-0000B1000000}"/>
    <cellStyle name="20% - 輔色5 10" xfId="213" xr:uid="{00000000-0005-0000-0000-0000B2000000}"/>
    <cellStyle name="20% - 輔色5 11" xfId="214" xr:uid="{00000000-0005-0000-0000-0000B3000000}"/>
    <cellStyle name="20% - 輔色5 2" xfId="215" xr:uid="{00000000-0005-0000-0000-0000B4000000}"/>
    <cellStyle name="20% - 輔色5 2 2" xfId="216" xr:uid="{00000000-0005-0000-0000-0000B5000000}"/>
    <cellStyle name="20% - 輔色5 3" xfId="217" xr:uid="{00000000-0005-0000-0000-0000B6000000}"/>
    <cellStyle name="20% - 輔色5 4" xfId="218" xr:uid="{00000000-0005-0000-0000-0000B7000000}"/>
    <cellStyle name="20% - 輔色5 5" xfId="219" xr:uid="{00000000-0005-0000-0000-0000B8000000}"/>
    <cellStyle name="20% - 輔色5 6" xfId="220" xr:uid="{00000000-0005-0000-0000-0000B9000000}"/>
    <cellStyle name="20% - 輔色5 7" xfId="221" xr:uid="{00000000-0005-0000-0000-0000BA000000}"/>
    <cellStyle name="20% - 輔色5 8" xfId="222" xr:uid="{00000000-0005-0000-0000-0000BB000000}"/>
    <cellStyle name="20% - 輔色5 9" xfId="223" xr:uid="{00000000-0005-0000-0000-0000BC000000}"/>
    <cellStyle name="20% - 輔色5_AMD MB 2011 APR Price List _PSD1" xfId="224" xr:uid="{00000000-0005-0000-0000-0000BD000000}"/>
    <cellStyle name="20% - 輔色6" xfId="225" xr:uid="{00000000-0005-0000-0000-0000BE000000}"/>
    <cellStyle name="20% - 輔色6 10" xfId="226" xr:uid="{00000000-0005-0000-0000-0000BF000000}"/>
    <cellStyle name="20% - 輔色6 11" xfId="227" xr:uid="{00000000-0005-0000-0000-0000C0000000}"/>
    <cellStyle name="20% - 輔色6 2" xfId="228" xr:uid="{00000000-0005-0000-0000-0000C1000000}"/>
    <cellStyle name="20% - 輔色6 2 2" xfId="229" xr:uid="{00000000-0005-0000-0000-0000C2000000}"/>
    <cellStyle name="20% - 輔色6 3" xfId="230" xr:uid="{00000000-0005-0000-0000-0000C3000000}"/>
    <cellStyle name="20% - 輔色6 4" xfId="231" xr:uid="{00000000-0005-0000-0000-0000C4000000}"/>
    <cellStyle name="20% - 輔色6 5" xfId="232" xr:uid="{00000000-0005-0000-0000-0000C5000000}"/>
    <cellStyle name="20% - 輔色6 6" xfId="233" xr:uid="{00000000-0005-0000-0000-0000C6000000}"/>
    <cellStyle name="20% - 輔色6 7" xfId="234" xr:uid="{00000000-0005-0000-0000-0000C7000000}"/>
    <cellStyle name="20% - 輔色6 8" xfId="235" xr:uid="{00000000-0005-0000-0000-0000C8000000}"/>
    <cellStyle name="20% - 輔色6 9" xfId="236" xr:uid="{00000000-0005-0000-0000-0000C9000000}"/>
    <cellStyle name="20% - 輔色6_AMD MB 2011 APR Price List _PSD1" xfId="237" xr:uid="{00000000-0005-0000-0000-0000CA000000}"/>
    <cellStyle name="40% - Accent1 2" xfId="238" xr:uid="{00000000-0005-0000-0000-0000CB000000}"/>
    <cellStyle name="40% - Accent1 3" xfId="239" xr:uid="{00000000-0005-0000-0000-0000CC000000}"/>
    <cellStyle name="40% - Accent2 2" xfId="240" xr:uid="{00000000-0005-0000-0000-0000CD000000}"/>
    <cellStyle name="40% - Accent2 3" xfId="241" xr:uid="{00000000-0005-0000-0000-0000CE000000}"/>
    <cellStyle name="40% - Accent3 2" xfId="242" xr:uid="{00000000-0005-0000-0000-0000CF000000}"/>
    <cellStyle name="40% - Accent3 3" xfId="243" xr:uid="{00000000-0005-0000-0000-0000D0000000}"/>
    <cellStyle name="40% - Accent4 2" xfId="244" xr:uid="{00000000-0005-0000-0000-0000D1000000}"/>
    <cellStyle name="40% - Accent4 3" xfId="245" xr:uid="{00000000-0005-0000-0000-0000D2000000}"/>
    <cellStyle name="40% - Accent5 2" xfId="246" xr:uid="{00000000-0005-0000-0000-0000D3000000}"/>
    <cellStyle name="40% - Accent5 3" xfId="247" xr:uid="{00000000-0005-0000-0000-0000D4000000}"/>
    <cellStyle name="40% - Accent6 2" xfId="248" xr:uid="{00000000-0005-0000-0000-0000D5000000}"/>
    <cellStyle name="40% - Accent6 3" xfId="249" xr:uid="{00000000-0005-0000-0000-0000D6000000}"/>
    <cellStyle name="40% - 輔色1" xfId="250" xr:uid="{00000000-0005-0000-0000-0000D7000000}"/>
    <cellStyle name="40% - 輔色1 10" xfId="251" xr:uid="{00000000-0005-0000-0000-0000D8000000}"/>
    <cellStyle name="40% - 輔色1 11" xfId="252" xr:uid="{00000000-0005-0000-0000-0000D9000000}"/>
    <cellStyle name="40% - 輔色1 2" xfId="253" xr:uid="{00000000-0005-0000-0000-0000DA000000}"/>
    <cellStyle name="40% - 輔色1 2 2" xfId="254" xr:uid="{00000000-0005-0000-0000-0000DB000000}"/>
    <cellStyle name="40% - 輔色1 3" xfId="255" xr:uid="{00000000-0005-0000-0000-0000DC000000}"/>
    <cellStyle name="40% - 輔色1 4" xfId="256" xr:uid="{00000000-0005-0000-0000-0000DD000000}"/>
    <cellStyle name="40% - 輔色1 5" xfId="257" xr:uid="{00000000-0005-0000-0000-0000DE000000}"/>
    <cellStyle name="40% - 輔色1 6" xfId="258" xr:uid="{00000000-0005-0000-0000-0000DF000000}"/>
    <cellStyle name="40% - 輔色1 7" xfId="259" xr:uid="{00000000-0005-0000-0000-0000E0000000}"/>
    <cellStyle name="40% - 輔色1 8" xfId="260" xr:uid="{00000000-0005-0000-0000-0000E1000000}"/>
    <cellStyle name="40% - 輔色1 9" xfId="261" xr:uid="{00000000-0005-0000-0000-0000E2000000}"/>
    <cellStyle name="40% - 輔色1_AMD MB 2011 APR Price List _PSD1" xfId="262" xr:uid="{00000000-0005-0000-0000-0000E3000000}"/>
    <cellStyle name="40% - 輔色2" xfId="263" xr:uid="{00000000-0005-0000-0000-0000E4000000}"/>
    <cellStyle name="40% - 輔色2 10" xfId="264" xr:uid="{00000000-0005-0000-0000-0000E5000000}"/>
    <cellStyle name="40% - 輔色2 11" xfId="265" xr:uid="{00000000-0005-0000-0000-0000E6000000}"/>
    <cellStyle name="40% - 輔色2 2" xfId="266" xr:uid="{00000000-0005-0000-0000-0000E7000000}"/>
    <cellStyle name="40% - 輔色2 2 2" xfId="267" xr:uid="{00000000-0005-0000-0000-0000E8000000}"/>
    <cellStyle name="40% - 輔色2 3" xfId="268" xr:uid="{00000000-0005-0000-0000-0000E9000000}"/>
    <cellStyle name="40% - 輔色2 4" xfId="269" xr:uid="{00000000-0005-0000-0000-0000EA000000}"/>
    <cellStyle name="40% - 輔色2 5" xfId="270" xr:uid="{00000000-0005-0000-0000-0000EB000000}"/>
    <cellStyle name="40% - 輔色2 6" xfId="271" xr:uid="{00000000-0005-0000-0000-0000EC000000}"/>
    <cellStyle name="40% - 輔色2 7" xfId="272" xr:uid="{00000000-0005-0000-0000-0000ED000000}"/>
    <cellStyle name="40% - 輔色2 8" xfId="273" xr:uid="{00000000-0005-0000-0000-0000EE000000}"/>
    <cellStyle name="40% - 輔色2 9" xfId="274" xr:uid="{00000000-0005-0000-0000-0000EF000000}"/>
    <cellStyle name="40% - 輔色2_AMD MB 2011 APR Price List _PSD1" xfId="275" xr:uid="{00000000-0005-0000-0000-0000F0000000}"/>
    <cellStyle name="40% - 輔色3" xfId="276" xr:uid="{00000000-0005-0000-0000-0000F1000000}"/>
    <cellStyle name="40% - 輔色3 10" xfId="277" xr:uid="{00000000-0005-0000-0000-0000F2000000}"/>
    <cellStyle name="40% - 輔色3 11" xfId="278" xr:uid="{00000000-0005-0000-0000-0000F3000000}"/>
    <cellStyle name="40% - 輔色3 2" xfId="279" xr:uid="{00000000-0005-0000-0000-0000F4000000}"/>
    <cellStyle name="40% - 輔色3 2 2" xfId="280" xr:uid="{00000000-0005-0000-0000-0000F5000000}"/>
    <cellStyle name="40% - 輔色3 3" xfId="281" xr:uid="{00000000-0005-0000-0000-0000F6000000}"/>
    <cellStyle name="40% - 輔色3 4" xfId="282" xr:uid="{00000000-0005-0000-0000-0000F7000000}"/>
    <cellStyle name="40% - 輔色3 5" xfId="283" xr:uid="{00000000-0005-0000-0000-0000F8000000}"/>
    <cellStyle name="40% - 輔色3 6" xfId="284" xr:uid="{00000000-0005-0000-0000-0000F9000000}"/>
    <cellStyle name="40% - 輔色3 7" xfId="285" xr:uid="{00000000-0005-0000-0000-0000FA000000}"/>
    <cellStyle name="40% - 輔色3 8" xfId="286" xr:uid="{00000000-0005-0000-0000-0000FB000000}"/>
    <cellStyle name="40% - 輔色3 9" xfId="287" xr:uid="{00000000-0005-0000-0000-0000FC000000}"/>
    <cellStyle name="40% - 輔色3_AMD MB 2011 APR Price List _PSD1" xfId="288" xr:uid="{00000000-0005-0000-0000-0000FD000000}"/>
    <cellStyle name="40% - 輔色4" xfId="289" xr:uid="{00000000-0005-0000-0000-0000FE000000}"/>
    <cellStyle name="40% - 輔色4 10" xfId="290" xr:uid="{00000000-0005-0000-0000-0000FF000000}"/>
    <cellStyle name="40% - 輔色4 11" xfId="291" xr:uid="{00000000-0005-0000-0000-000000010000}"/>
    <cellStyle name="40% - 輔色4 2" xfId="292" xr:uid="{00000000-0005-0000-0000-000001010000}"/>
    <cellStyle name="40% - 輔色4 2 2" xfId="293" xr:uid="{00000000-0005-0000-0000-000002010000}"/>
    <cellStyle name="40% - 輔色4 3" xfId="294" xr:uid="{00000000-0005-0000-0000-000003010000}"/>
    <cellStyle name="40% - 輔色4 4" xfId="295" xr:uid="{00000000-0005-0000-0000-000004010000}"/>
    <cellStyle name="40% - 輔色4 5" xfId="296" xr:uid="{00000000-0005-0000-0000-000005010000}"/>
    <cellStyle name="40% - 輔色4 6" xfId="297" xr:uid="{00000000-0005-0000-0000-000006010000}"/>
    <cellStyle name="40% - 輔色4 7" xfId="298" xr:uid="{00000000-0005-0000-0000-000007010000}"/>
    <cellStyle name="40% - 輔色4 8" xfId="299" xr:uid="{00000000-0005-0000-0000-000008010000}"/>
    <cellStyle name="40% - 輔色4 9" xfId="300" xr:uid="{00000000-0005-0000-0000-000009010000}"/>
    <cellStyle name="40% - 輔色4_AMD MB 2011 APR Price List _PSD1" xfId="301" xr:uid="{00000000-0005-0000-0000-00000A010000}"/>
    <cellStyle name="40% - 輔色5" xfId="302" xr:uid="{00000000-0005-0000-0000-00000B010000}"/>
    <cellStyle name="40% - 輔色5 10" xfId="303" xr:uid="{00000000-0005-0000-0000-00000C010000}"/>
    <cellStyle name="40% - 輔色5 11" xfId="304" xr:uid="{00000000-0005-0000-0000-00000D010000}"/>
    <cellStyle name="40% - 輔色5 2" xfId="305" xr:uid="{00000000-0005-0000-0000-00000E010000}"/>
    <cellStyle name="40% - 輔色5 2 2" xfId="306" xr:uid="{00000000-0005-0000-0000-00000F010000}"/>
    <cellStyle name="40% - 輔色5 3" xfId="307" xr:uid="{00000000-0005-0000-0000-000010010000}"/>
    <cellStyle name="40% - 輔色5 4" xfId="308" xr:uid="{00000000-0005-0000-0000-000011010000}"/>
    <cellStyle name="40% - 輔色5 5" xfId="309" xr:uid="{00000000-0005-0000-0000-000012010000}"/>
    <cellStyle name="40% - 輔色5 6" xfId="310" xr:uid="{00000000-0005-0000-0000-000013010000}"/>
    <cellStyle name="40% - 輔色5 7" xfId="311" xr:uid="{00000000-0005-0000-0000-000014010000}"/>
    <cellStyle name="40% - 輔色5 8" xfId="312" xr:uid="{00000000-0005-0000-0000-000015010000}"/>
    <cellStyle name="40% - 輔色5 9" xfId="313" xr:uid="{00000000-0005-0000-0000-000016010000}"/>
    <cellStyle name="40% - 輔色5_AMD MB 2011 APR Price List _PSD1" xfId="314" xr:uid="{00000000-0005-0000-0000-000017010000}"/>
    <cellStyle name="40% - 輔色6" xfId="315" xr:uid="{00000000-0005-0000-0000-000018010000}"/>
    <cellStyle name="40% - 輔色6 10" xfId="316" xr:uid="{00000000-0005-0000-0000-000019010000}"/>
    <cellStyle name="40% - 輔色6 11" xfId="317" xr:uid="{00000000-0005-0000-0000-00001A010000}"/>
    <cellStyle name="40% - 輔色6 2" xfId="318" xr:uid="{00000000-0005-0000-0000-00001B010000}"/>
    <cellStyle name="40% - 輔色6 2 2" xfId="319" xr:uid="{00000000-0005-0000-0000-00001C010000}"/>
    <cellStyle name="40% - 輔色6 3" xfId="320" xr:uid="{00000000-0005-0000-0000-00001D010000}"/>
    <cellStyle name="40% - 輔色6 4" xfId="321" xr:uid="{00000000-0005-0000-0000-00001E010000}"/>
    <cellStyle name="40% - 輔色6 5" xfId="322" xr:uid="{00000000-0005-0000-0000-00001F010000}"/>
    <cellStyle name="40% - 輔色6 6" xfId="323" xr:uid="{00000000-0005-0000-0000-000020010000}"/>
    <cellStyle name="40% - 輔色6 7" xfId="324" xr:uid="{00000000-0005-0000-0000-000021010000}"/>
    <cellStyle name="40% - 輔色6 8" xfId="325" xr:uid="{00000000-0005-0000-0000-000022010000}"/>
    <cellStyle name="40% - 輔色6 9" xfId="326" xr:uid="{00000000-0005-0000-0000-000023010000}"/>
    <cellStyle name="40% - 輔色6_AMD MB 2011 APR Price List _PSD1" xfId="327" xr:uid="{00000000-0005-0000-0000-000024010000}"/>
    <cellStyle name="60% - Accent1 2" xfId="328" xr:uid="{00000000-0005-0000-0000-000025010000}"/>
    <cellStyle name="60% - Accent1 3" xfId="329" xr:uid="{00000000-0005-0000-0000-000026010000}"/>
    <cellStyle name="60% - Accent2 2" xfId="330" xr:uid="{00000000-0005-0000-0000-000027010000}"/>
    <cellStyle name="60% - Accent2 3" xfId="331" xr:uid="{00000000-0005-0000-0000-000028010000}"/>
    <cellStyle name="60% - Accent3 2" xfId="332" xr:uid="{00000000-0005-0000-0000-000029010000}"/>
    <cellStyle name="60% - Accent3 3" xfId="333" xr:uid="{00000000-0005-0000-0000-00002A010000}"/>
    <cellStyle name="60% - Accent4 2" xfId="334" xr:uid="{00000000-0005-0000-0000-00002B010000}"/>
    <cellStyle name="60% - Accent4 3" xfId="335" xr:uid="{00000000-0005-0000-0000-00002C010000}"/>
    <cellStyle name="60% - Accent5 2" xfId="336" xr:uid="{00000000-0005-0000-0000-00002D010000}"/>
    <cellStyle name="60% - Accent5 3" xfId="337" xr:uid="{00000000-0005-0000-0000-00002E010000}"/>
    <cellStyle name="60% - Accent6 2" xfId="338" xr:uid="{00000000-0005-0000-0000-00002F010000}"/>
    <cellStyle name="60% - Accent6 3" xfId="339" xr:uid="{00000000-0005-0000-0000-000030010000}"/>
    <cellStyle name="60% - 輔色1" xfId="340" xr:uid="{00000000-0005-0000-0000-000031010000}"/>
    <cellStyle name="60% - 輔色1 10" xfId="341" xr:uid="{00000000-0005-0000-0000-000032010000}"/>
    <cellStyle name="60% - 輔色1 11" xfId="342" xr:uid="{00000000-0005-0000-0000-000033010000}"/>
    <cellStyle name="60% - 輔色1 2" xfId="343" xr:uid="{00000000-0005-0000-0000-000034010000}"/>
    <cellStyle name="60% - 輔色1 2 2" xfId="344" xr:uid="{00000000-0005-0000-0000-000035010000}"/>
    <cellStyle name="60% - 輔色1 3" xfId="345" xr:uid="{00000000-0005-0000-0000-000036010000}"/>
    <cellStyle name="60% - 輔色1 4" xfId="346" xr:uid="{00000000-0005-0000-0000-000037010000}"/>
    <cellStyle name="60% - 輔色1 5" xfId="347" xr:uid="{00000000-0005-0000-0000-000038010000}"/>
    <cellStyle name="60% - 輔色1 6" xfId="348" xr:uid="{00000000-0005-0000-0000-000039010000}"/>
    <cellStyle name="60% - 輔色1 7" xfId="349" xr:uid="{00000000-0005-0000-0000-00003A010000}"/>
    <cellStyle name="60% - 輔色1 8" xfId="350" xr:uid="{00000000-0005-0000-0000-00003B010000}"/>
    <cellStyle name="60% - 輔色1 9" xfId="351" xr:uid="{00000000-0005-0000-0000-00003C010000}"/>
    <cellStyle name="60% - 輔色1_AMD MB 2011 APR Price List _PSD1" xfId="352" xr:uid="{00000000-0005-0000-0000-00003D010000}"/>
    <cellStyle name="60% - 輔色2" xfId="353" xr:uid="{00000000-0005-0000-0000-00003E010000}"/>
    <cellStyle name="60% - 輔色2 10" xfId="354" xr:uid="{00000000-0005-0000-0000-00003F010000}"/>
    <cellStyle name="60% - 輔色2 11" xfId="355" xr:uid="{00000000-0005-0000-0000-000040010000}"/>
    <cellStyle name="60% - 輔色2 2" xfId="356" xr:uid="{00000000-0005-0000-0000-000041010000}"/>
    <cellStyle name="60% - 輔色2 2 2" xfId="357" xr:uid="{00000000-0005-0000-0000-000042010000}"/>
    <cellStyle name="60% - 輔色2 3" xfId="358" xr:uid="{00000000-0005-0000-0000-000043010000}"/>
    <cellStyle name="60% - 輔色2 4" xfId="359" xr:uid="{00000000-0005-0000-0000-000044010000}"/>
    <cellStyle name="60% - 輔色2 5" xfId="360" xr:uid="{00000000-0005-0000-0000-000045010000}"/>
    <cellStyle name="60% - 輔色2 6" xfId="361" xr:uid="{00000000-0005-0000-0000-000046010000}"/>
    <cellStyle name="60% - 輔色2 7" xfId="362" xr:uid="{00000000-0005-0000-0000-000047010000}"/>
    <cellStyle name="60% - 輔色2 8" xfId="363" xr:uid="{00000000-0005-0000-0000-000048010000}"/>
    <cellStyle name="60% - 輔色2 9" xfId="364" xr:uid="{00000000-0005-0000-0000-000049010000}"/>
    <cellStyle name="60% - 輔色2_AMD MB 2011 APR Price List _PSD1" xfId="365" xr:uid="{00000000-0005-0000-0000-00004A010000}"/>
    <cellStyle name="60% - 輔色3" xfId="366" xr:uid="{00000000-0005-0000-0000-00004B010000}"/>
    <cellStyle name="60% - 輔色3 10" xfId="367" xr:uid="{00000000-0005-0000-0000-00004C010000}"/>
    <cellStyle name="60% - 輔色3 11" xfId="368" xr:uid="{00000000-0005-0000-0000-00004D010000}"/>
    <cellStyle name="60% - 輔色3 2" xfId="369" xr:uid="{00000000-0005-0000-0000-00004E010000}"/>
    <cellStyle name="60% - 輔色3 2 2" xfId="370" xr:uid="{00000000-0005-0000-0000-00004F010000}"/>
    <cellStyle name="60% - 輔色3 3" xfId="371" xr:uid="{00000000-0005-0000-0000-000050010000}"/>
    <cellStyle name="60% - 輔色3 4" xfId="372" xr:uid="{00000000-0005-0000-0000-000051010000}"/>
    <cellStyle name="60% - 輔色3 5" xfId="373" xr:uid="{00000000-0005-0000-0000-000052010000}"/>
    <cellStyle name="60% - 輔色3 6" xfId="374" xr:uid="{00000000-0005-0000-0000-000053010000}"/>
    <cellStyle name="60% - 輔色3 7" xfId="375" xr:uid="{00000000-0005-0000-0000-000054010000}"/>
    <cellStyle name="60% - 輔色3 8" xfId="376" xr:uid="{00000000-0005-0000-0000-000055010000}"/>
    <cellStyle name="60% - 輔色3 9" xfId="377" xr:uid="{00000000-0005-0000-0000-000056010000}"/>
    <cellStyle name="60% - 輔色3_AMD MB 2011 APR Price List _PSD1" xfId="378" xr:uid="{00000000-0005-0000-0000-000057010000}"/>
    <cellStyle name="60% - 輔色4" xfId="379" xr:uid="{00000000-0005-0000-0000-000058010000}"/>
    <cellStyle name="60% - 輔色4 10" xfId="380" xr:uid="{00000000-0005-0000-0000-000059010000}"/>
    <cellStyle name="60% - 輔色4 11" xfId="381" xr:uid="{00000000-0005-0000-0000-00005A010000}"/>
    <cellStyle name="60% - 輔色4 2" xfId="382" xr:uid="{00000000-0005-0000-0000-00005B010000}"/>
    <cellStyle name="60% - 輔色4 2 2" xfId="383" xr:uid="{00000000-0005-0000-0000-00005C010000}"/>
    <cellStyle name="60% - 輔色4 3" xfId="384" xr:uid="{00000000-0005-0000-0000-00005D010000}"/>
    <cellStyle name="60% - 輔色4 4" xfId="385" xr:uid="{00000000-0005-0000-0000-00005E010000}"/>
    <cellStyle name="60% - 輔色4 5" xfId="386" xr:uid="{00000000-0005-0000-0000-00005F010000}"/>
    <cellStyle name="60% - 輔色4 6" xfId="387" xr:uid="{00000000-0005-0000-0000-000060010000}"/>
    <cellStyle name="60% - 輔色4 7" xfId="388" xr:uid="{00000000-0005-0000-0000-000061010000}"/>
    <cellStyle name="60% - 輔色4 8" xfId="389" xr:uid="{00000000-0005-0000-0000-000062010000}"/>
    <cellStyle name="60% - 輔色4 9" xfId="390" xr:uid="{00000000-0005-0000-0000-000063010000}"/>
    <cellStyle name="60% - 輔色4_AMD MB 2011 APR Price List _PSD1" xfId="391" xr:uid="{00000000-0005-0000-0000-000064010000}"/>
    <cellStyle name="60% - 輔色5" xfId="392" xr:uid="{00000000-0005-0000-0000-000065010000}"/>
    <cellStyle name="60% - 輔色5 10" xfId="393" xr:uid="{00000000-0005-0000-0000-000066010000}"/>
    <cellStyle name="60% - 輔色5 11" xfId="394" xr:uid="{00000000-0005-0000-0000-000067010000}"/>
    <cellStyle name="60% - 輔色5 2" xfId="395" xr:uid="{00000000-0005-0000-0000-000068010000}"/>
    <cellStyle name="60% - 輔色5 2 2" xfId="396" xr:uid="{00000000-0005-0000-0000-000069010000}"/>
    <cellStyle name="60% - 輔色5 3" xfId="397" xr:uid="{00000000-0005-0000-0000-00006A010000}"/>
    <cellStyle name="60% - 輔色5 4" xfId="398" xr:uid="{00000000-0005-0000-0000-00006B010000}"/>
    <cellStyle name="60% - 輔色5 5" xfId="399" xr:uid="{00000000-0005-0000-0000-00006C010000}"/>
    <cellStyle name="60% - 輔色5 6" xfId="400" xr:uid="{00000000-0005-0000-0000-00006D010000}"/>
    <cellStyle name="60% - 輔色5 7" xfId="401" xr:uid="{00000000-0005-0000-0000-00006E010000}"/>
    <cellStyle name="60% - 輔色5 8" xfId="402" xr:uid="{00000000-0005-0000-0000-00006F010000}"/>
    <cellStyle name="60% - 輔色5 9" xfId="403" xr:uid="{00000000-0005-0000-0000-000070010000}"/>
    <cellStyle name="60% - 輔色5_AMD MB 2011 APR Price List _PSD1" xfId="404" xr:uid="{00000000-0005-0000-0000-000071010000}"/>
    <cellStyle name="60% - 輔色6" xfId="405" xr:uid="{00000000-0005-0000-0000-000072010000}"/>
    <cellStyle name="60% - 輔色6 10" xfId="406" xr:uid="{00000000-0005-0000-0000-000073010000}"/>
    <cellStyle name="60% - 輔色6 11" xfId="407" xr:uid="{00000000-0005-0000-0000-000074010000}"/>
    <cellStyle name="60% - 輔色6 2" xfId="408" xr:uid="{00000000-0005-0000-0000-000075010000}"/>
    <cellStyle name="60% - 輔色6 2 2" xfId="409" xr:uid="{00000000-0005-0000-0000-000076010000}"/>
    <cellStyle name="60% - 輔色6 3" xfId="410" xr:uid="{00000000-0005-0000-0000-000077010000}"/>
    <cellStyle name="60% - 輔色6 4" xfId="411" xr:uid="{00000000-0005-0000-0000-000078010000}"/>
    <cellStyle name="60% - 輔色6 5" xfId="412" xr:uid="{00000000-0005-0000-0000-000079010000}"/>
    <cellStyle name="60% - 輔色6 6" xfId="413" xr:uid="{00000000-0005-0000-0000-00007A010000}"/>
    <cellStyle name="60% - 輔色6 7" xfId="414" xr:uid="{00000000-0005-0000-0000-00007B010000}"/>
    <cellStyle name="60% - 輔色6 8" xfId="415" xr:uid="{00000000-0005-0000-0000-00007C010000}"/>
    <cellStyle name="60% - 輔色6 9" xfId="416" xr:uid="{00000000-0005-0000-0000-00007D010000}"/>
    <cellStyle name="60% - 輔色6_AMD MB 2011 APR Price List _PSD1" xfId="417" xr:uid="{00000000-0005-0000-0000-00007E010000}"/>
    <cellStyle name="Accent1 2" xfId="418" xr:uid="{00000000-0005-0000-0000-00007F010000}"/>
    <cellStyle name="Accent1 3" xfId="419" xr:uid="{00000000-0005-0000-0000-000080010000}"/>
    <cellStyle name="Accent2 2" xfId="420" xr:uid="{00000000-0005-0000-0000-000081010000}"/>
    <cellStyle name="Accent2 3" xfId="421" xr:uid="{00000000-0005-0000-0000-000082010000}"/>
    <cellStyle name="Accent3 2" xfId="422" xr:uid="{00000000-0005-0000-0000-000083010000}"/>
    <cellStyle name="Accent3 3" xfId="423" xr:uid="{00000000-0005-0000-0000-000084010000}"/>
    <cellStyle name="Accent4 2" xfId="424" xr:uid="{00000000-0005-0000-0000-000085010000}"/>
    <cellStyle name="Accent4 3" xfId="425" xr:uid="{00000000-0005-0000-0000-000086010000}"/>
    <cellStyle name="Accent5 2" xfId="426" xr:uid="{00000000-0005-0000-0000-000087010000}"/>
    <cellStyle name="Accent5 3" xfId="427" xr:uid="{00000000-0005-0000-0000-000088010000}"/>
    <cellStyle name="Accent6 2" xfId="428" xr:uid="{00000000-0005-0000-0000-000089010000}"/>
    <cellStyle name="Accent6 3" xfId="429" xr:uid="{00000000-0005-0000-0000-00008A010000}"/>
    <cellStyle name="Bad 2" xfId="430" xr:uid="{00000000-0005-0000-0000-00008B010000}"/>
    <cellStyle name="Bad 3" xfId="431" xr:uid="{00000000-0005-0000-0000-00008C010000}"/>
    <cellStyle name="Berekening" xfId="432" xr:uid="{00000000-0005-0000-0000-00008D010000}"/>
    <cellStyle name="Calculation 2" xfId="433" xr:uid="{00000000-0005-0000-0000-00008E010000}"/>
    <cellStyle name="Calculation 3" xfId="434" xr:uid="{00000000-0005-0000-0000-00008F010000}"/>
    <cellStyle name="Check Cell 2" xfId="435" xr:uid="{00000000-0005-0000-0000-000090010000}"/>
    <cellStyle name="Check Cell 3" xfId="436" xr:uid="{00000000-0005-0000-0000-000091010000}"/>
    <cellStyle name="Comma" xfId="1228" builtinId="3"/>
    <cellStyle name="Comma [0] 2" xfId="44" xr:uid="{00000000-0005-0000-0000-000093010000}"/>
    <cellStyle name="Comma [0] 2 2" xfId="45" xr:uid="{00000000-0005-0000-0000-000094010000}"/>
    <cellStyle name="Comma [0] 2 2 2" xfId="438" xr:uid="{00000000-0005-0000-0000-000095010000}"/>
    <cellStyle name="Comma [0] 2 2 2 2" xfId="1339" xr:uid="{00000000-0005-0000-0000-000096010000}"/>
    <cellStyle name="Comma [0] 2 2 3" xfId="439" xr:uid="{00000000-0005-0000-0000-000097010000}"/>
    <cellStyle name="Comma [0] 2 2 3 2" xfId="1340" xr:uid="{00000000-0005-0000-0000-000098010000}"/>
    <cellStyle name="Comma [0] 2 2 4" xfId="440" xr:uid="{00000000-0005-0000-0000-000099010000}"/>
    <cellStyle name="Comma [0] 2 2 4 2" xfId="1341" xr:uid="{00000000-0005-0000-0000-00009A010000}"/>
    <cellStyle name="Comma [0] 2 2 5" xfId="441" xr:uid="{00000000-0005-0000-0000-00009B010000}"/>
    <cellStyle name="Comma [0] 2 2 5 2" xfId="1342" xr:uid="{00000000-0005-0000-0000-00009C010000}"/>
    <cellStyle name="Comma [0] 2 2 6" xfId="1261" xr:uid="{00000000-0005-0000-0000-00009D010000}"/>
    <cellStyle name="Comma [0] 2 3" xfId="442" xr:uid="{00000000-0005-0000-0000-00009E010000}"/>
    <cellStyle name="Comma [0] 2 4" xfId="437" xr:uid="{00000000-0005-0000-0000-00009F010000}"/>
    <cellStyle name="Comma [0] 2 5" xfId="1260" xr:uid="{00000000-0005-0000-0000-0000A0010000}"/>
    <cellStyle name="Comma [0] 2 6" xfId="1532" xr:uid="{00000000-0005-0000-0000-0000A1010000}"/>
    <cellStyle name="Comma [0] 3" xfId="46" xr:uid="{00000000-0005-0000-0000-0000A2010000}"/>
    <cellStyle name="Comma [0] 3 2" xfId="443" xr:uid="{00000000-0005-0000-0000-0000A3010000}"/>
    <cellStyle name="Comma [0] 3 2 2" xfId="1343" xr:uid="{00000000-0005-0000-0000-0000A4010000}"/>
    <cellStyle name="Comma [0] 3 3" xfId="444" xr:uid="{00000000-0005-0000-0000-0000A5010000}"/>
    <cellStyle name="Comma [0] 3 3 2" xfId="1344" xr:uid="{00000000-0005-0000-0000-0000A6010000}"/>
    <cellStyle name="Comma [0] 3 4" xfId="445" xr:uid="{00000000-0005-0000-0000-0000A7010000}"/>
    <cellStyle name="Comma [0] 3 4 2" xfId="1345" xr:uid="{00000000-0005-0000-0000-0000A8010000}"/>
    <cellStyle name="Comma [0] 3 5" xfId="446" xr:uid="{00000000-0005-0000-0000-0000A9010000}"/>
    <cellStyle name="Comma [0] 3 5 2" xfId="1346" xr:uid="{00000000-0005-0000-0000-0000AA010000}"/>
    <cellStyle name="Comma [0] 3 6" xfId="1262" xr:uid="{00000000-0005-0000-0000-0000AB010000}"/>
    <cellStyle name="Comma [0] 4" xfId="1555" xr:uid="{00000000-0005-0000-0000-0000AC010000}"/>
    <cellStyle name="Comma 10" xfId="47" xr:uid="{00000000-0005-0000-0000-0000AD010000}"/>
    <cellStyle name="Comma 10 2" xfId="48" xr:uid="{00000000-0005-0000-0000-0000AE010000}"/>
    <cellStyle name="Comma 10 2 2" xfId="20" xr:uid="{00000000-0005-0000-0000-0000AF010000}"/>
    <cellStyle name="Comma 10 2 2 2" xfId="1245" xr:uid="{00000000-0005-0000-0000-0000B0010000}"/>
    <cellStyle name="Comma 10 2 3" xfId="447" xr:uid="{00000000-0005-0000-0000-0000B1010000}"/>
    <cellStyle name="Comma 10 2 3 2" xfId="1347" xr:uid="{00000000-0005-0000-0000-0000B2010000}"/>
    <cellStyle name="Comma 10 2 4" xfId="448" xr:uid="{00000000-0005-0000-0000-0000B3010000}"/>
    <cellStyle name="Comma 10 2 4 2" xfId="1348" xr:uid="{00000000-0005-0000-0000-0000B4010000}"/>
    <cellStyle name="Comma 10 2 5" xfId="449" xr:uid="{00000000-0005-0000-0000-0000B5010000}"/>
    <cellStyle name="Comma 10 2 5 2" xfId="1349" xr:uid="{00000000-0005-0000-0000-0000B6010000}"/>
    <cellStyle name="Comma 10 2 6" xfId="1264" xr:uid="{00000000-0005-0000-0000-0000B7010000}"/>
    <cellStyle name="Comma 10 3" xfId="450" xr:uid="{00000000-0005-0000-0000-0000B8010000}"/>
    <cellStyle name="Comma 10 3 2" xfId="1350" xr:uid="{00000000-0005-0000-0000-0000B9010000}"/>
    <cellStyle name="Comma 10 4" xfId="451" xr:uid="{00000000-0005-0000-0000-0000BA010000}"/>
    <cellStyle name="Comma 10 4 2" xfId="1351" xr:uid="{00000000-0005-0000-0000-0000BB010000}"/>
    <cellStyle name="Comma 10 5" xfId="452" xr:uid="{00000000-0005-0000-0000-0000BC010000}"/>
    <cellStyle name="Comma 10 5 2" xfId="1352" xr:uid="{00000000-0005-0000-0000-0000BD010000}"/>
    <cellStyle name="Comma 10 6" xfId="453" xr:uid="{00000000-0005-0000-0000-0000BE010000}"/>
    <cellStyle name="Comma 10 6 2" xfId="1353" xr:uid="{00000000-0005-0000-0000-0000BF010000}"/>
    <cellStyle name="Comma 10 7" xfId="1263" xr:uid="{00000000-0005-0000-0000-0000C0010000}"/>
    <cellStyle name="Comma 11" xfId="49" xr:uid="{00000000-0005-0000-0000-0000C1010000}"/>
    <cellStyle name="Comma 11 2" xfId="454" xr:uid="{00000000-0005-0000-0000-0000C2010000}"/>
    <cellStyle name="Comma 11 2 2" xfId="1354" xr:uid="{00000000-0005-0000-0000-0000C3010000}"/>
    <cellStyle name="Comma 11 3" xfId="455" xr:uid="{00000000-0005-0000-0000-0000C4010000}"/>
    <cellStyle name="Comma 11 3 2" xfId="1355" xr:uid="{00000000-0005-0000-0000-0000C5010000}"/>
    <cellStyle name="Comma 11 4" xfId="456" xr:uid="{00000000-0005-0000-0000-0000C6010000}"/>
    <cellStyle name="Comma 11 4 2" xfId="1356" xr:uid="{00000000-0005-0000-0000-0000C7010000}"/>
    <cellStyle name="Comma 11 5" xfId="457" xr:uid="{00000000-0005-0000-0000-0000C8010000}"/>
    <cellStyle name="Comma 11 5 2" xfId="1357" xr:uid="{00000000-0005-0000-0000-0000C9010000}"/>
    <cellStyle name="Comma 11 6" xfId="1265" xr:uid="{00000000-0005-0000-0000-0000CA010000}"/>
    <cellStyle name="Comma 12" xfId="50" xr:uid="{00000000-0005-0000-0000-0000CB010000}"/>
    <cellStyle name="Comma 12 2" xfId="458" xr:uid="{00000000-0005-0000-0000-0000CC010000}"/>
    <cellStyle name="Comma 12 2 2" xfId="1358" xr:uid="{00000000-0005-0000-0000-0000CD010000}"/>
    <cellStyle name="Comma 12 3" xfId="459" xr:uid="{00000000-0005-0000-0000-0000CE010000}"/>
    <cellStyle name="Comma 12 3 2" xfId="1359" xr:uid="{00000000-0005-0000-0000-0000CF010000}"/>
    <cellStyle name="Comma 12 4" xfId="460" xr:uid="{00000000-0005-0000-0000-0000D0010000}"/>
    <cellStyle name="Comma 12 4 2" xfId="1360" xr:uid="{00000000-0005-0000-0000-0000D1010000}"/>
    <cellStyle name="Comma 12 5" xfId="461" xr:uid="{00000000-0005-0000-0000-0000D2010000}"/>
    <cellStyle name="Comma 12 5 2" xfId="1361" xr:uid="{00000000-0005-0000-0000-0000D3010000}"/>
    <cellStyle name="Comma 12 6" xfId="1266" xr:uid="{00000000-0005-0000-0000-0000D4010000}"/>
    <cellStyle name="Comma 13" xfId="51" xr:uid="{00000000-0005-0000-0000-0000D5010000}"/>
    <cellStyle name="Comma 13 2" xfId="52" xr:uid="{00000000-0005-0000-0000-0000D6010000}"/>
    <cellStyle name="Comma 13 2 2" xfId="53" xr:uid="{00000000-0005-0000-0000-0000D7010000}"/>
    <cellStyle name="Comma 13 2 2 2" xfId="1268" xr:uid="{00000000-0005-0000-0000-0000D8010000}"/>
    <cellStyle name="Comma 13 3" xfId="463" xr:uid="{00000000-0005-0000-0000-0000D9010000}"/>
    <cellStyle name="Comma 13 3 2" xfId="1362" xr:uid="{00000000-0005-0000-0000-0000DA010000}"/>
    <cellStyle name="Comma 13 4" xfId="462" xr:uid="{00000000-0005-0000-0000-0000DB010000}"/>
    <cellStyle name="Comma 13 5" xfId="1267" xr:uid="{00000000-0005-0000-0000-0000DC010000}"/>
    <cellStyle name="Comma 14" xfId="464" xr:uid="{00000000-0005-0000-0000-0000DD010000}"/>
    <cellStyle name="Comma 14 2" xfId="465" xr:uid="{00000000-0005-0000-0000-0000DE010000}"/>
    <cellStyle name="Comma 14 2 2" xfId="1363" xr:uid="{00000000-0005-0000-0000-0000DF010000}"/>
    <cellStyle name="Comma 15" xfId="466" xr:uid="{00000000-0005-0000-0000-0000E0010000}"/>
    <cellStyle name="Comma 15 2" xfId="467" xr:uid="{00000000-0005-0000-0000-0000E1010000}"/>
    <cellStyle name="Comma 15 2 2" xfId="1364" xr:uid="{00000000-0005-0000-0000-0000E2010000}"/>
    <cellStyle name="Comma 16" xfId="468" xr:uid="{00000000-0005-0000-0000-0000E3010000}"/>
    <cellStyle name="Comma 16 2" xfId="469" xr:uid="{00000000-0005-0000-0000-0000E4010000}"/>
    <cellStyle name="Comma 16 2 2" xfId="1365" xr:uid="{00000000-0005-0000-0000-0000E5010000}"/>
    <cellStyle name="Comma 17" xfId="470" xr:uid="{00000000-0005-0000-0000-0000E6010000}"/>
    <cellStyle name="Comma 18" xfId="471" xr:uid="{00000000-0005-0000-0000-0000E7010000}"/>
    <cellStyle name="Comma 19" xfId="472" xr:uid="{00000000-0005-0000-0000-0000E8010000}"/>
    <cellStyle name="Comma 19 2" xfId="473" xr:uid="{00000000-0005-0000-0000-0000E9010000}"/>
    <cellStyle name="Comma 19 2 2" xfId="1367" xr:uid="{00000000-0005-0000-0000-0000EA010000}"/>
    <cellStyle name="Comma 19 3" xfId="474" xr:uid="{00000000-0005-0000-0000-0000EB010000}"/>
    <cellStyle name="Comma 19 3 2" xfId="1368" xr:uid="{00000000-0005-0000-0000-0000EC010000}"/>
    <cellStyle name="Comma 19 4" xfId="1366" xr:uid="{00000000-0005-0000-0000-0000ED010000}"/>
    <cellStyle name="Comma 2" xfId="10" xr:uid="{00000000-0005-0000-0000-0000EE010000}"/>
    <cellStyle name="Comma 2 10" xfId="1237" xr:uid="{00000000-0005-0000-0000-0000EF010000}"/>
    <cellStyle name="Comma 2 2" xfId="54" xr:uid="{00000000-0005-0000-0000-0000F0010000}"/>
    <cellStyle name="Comma 2 2 2" xfId="475" xr:uid="{00000000-0005-0000-0000-0000F1010000}"/>
    <cellStyle name="Comma 2 2 2 2" xfId="1369" xr:uid="{00000000-0005-0000-0000-0000F2010000}"/>
    <cellStyle name="Comma 2 2 3" xfId="476" xr:uid="{00000000-0005-0000-0000-0000F3010000}"/>
    <cellStyle name="Comma 2 2 3 2" xfId="1370" xr:uid="{00000000-0005-0000-0000-0000F4010000}"/>
    <cellStyle name="Comma 2 2 4" xfId="477" xr:uid="{00000000-0005-0000-0000-0000F5010000}"/>
    <cellStyle name="Comma 2 2 4 2" xfId="1371" xr:uid="{00000000-0005-0000-0000-0000F6010000}"/>
    <cellStyle name="Comma 2 2 5" xfId="478" xr:uid="{00000000-0005-0000-0000-0000F7010000}"/>
    <cellStyle name="Comma 2 2 5 2" xfId="1372" xr:uid="{00000000-0005-0000-0000-0000F8010000}"/>
    <cellStyle name="Comma 2 2 6" xfId="1269" xr:uid="{00000000-0005-0000-0000-0000F9010000}"/>
    <cellStyle name="Comma 2 3" xfId="55" xr:uid="{00000000-0005-0000-0000-0000FA010000}"/>
    <cellStyle name="Comma 2 3 2" xfId="480" xr:uid="{00000000-0005-0000-0000-0000FB010000}"/>
    <cellStyle name="Comma 2 3 3" xfId="479" xr:uid="{00000000-0005-0000-0000-0000FC010000}"/>
    <cellStyle name="Comma 2 3 4" xfId="1270" xr:uid="{00000000-0005-0000-0000-0000FD010000}"/>
    <cellStyle name="Comma 2 3 5" xfId="1533" xr:uid="{00000000-0005-0000-0000-0000FE010000}"/>
    <cellStyle name="Comma 2 4" xfId="56" xr:uid="{00000000-0005-0000-0000-0000FF010000}"/>
    <cellStyle name="Comma 2 5" xfId="36" xr:uid="{00000000-0005-0000-0000-000000020000}"/>
    <cellStyle name="Comma 2 5 2" xfId="1256" xr:uid="{00000000-0005-0000-0000-000001020000}"/>
    <cellStyle name="Comma 2 6" xfId="481" xr:uid="{00000000-0005-0000-0000-000002020000}"/>
    <cellStyle name="Comma 2 6 2" xfId="1373" xr:uid="{00000000-0005-0000-0000-000003020000}"/>
    <cellStyle name="Comma 2 7" xfId="482" xr:uid="{00000000-0005-0000-0000-000004020000}"/>
    <cellStyle name="Comma 2 7 2" xfId="1374" xr:uid="{00000000-0005-0000-0000-000005020000}"/>
    <cellStyle name="Comma 2 8" xfId="483" xr:uid="{00000000-0005-0000-0000-000006020000}"/>
    <cellStyle name="Comma 2 8 2" xfId="1375" xr:uid="{00000000-0005-0000-0000-000007020000}"/>
    <cellStyle name="Comma 2 9" xfId="484" xr:uid="{00000000-0005-0000-0000-000008020000}"/>
    <cellStyle name="Comma 2 9 2" xfId="1376" xr:uid="{00000000-0005-0000-0000-000009020000}"/>
    <cellStyle name="Comma 20" xfId="485" xr:uid="{00000000-0005-0000-0000-00000A020000}"/>
    <cellStyle name="Comma 20 2" xfId="486" xr:uid="{00000000-0005-0000-0000-00000B020000}"/>
    <cellStyle name="Comma 20 2 2" xfId="1378" xr:uid="{00000000-0005-0000-0000-00000C020000}"/>
    <cellStyle name="Comma 20 3" xfId="487" xr:uid="{00000000-0005-0000-0000-00000D020000}"/>
    <cellStyle name="Comma 20 3 2" xfId="1379" xr:uid="{00000000-0005-0000-0000-00000E020000}"/>
    <cellStyle name="Comma 20 4" xfId="1377" xr:uid="{00000000-0005-0000-0000-00000F020000}"/>
    <cellStyle name="Comma 21" xfId="488" xr:uid="{00000000-0005-0000-0000-000010020000}"/>
    <cellStyle name="Comma 21 2" xfId="489" xr:uid="{00000000-0005-0000-0000-000011020000}"/>
    <cellStyle name="Comma 21 2 2" xfId="1381" xr:uid="{00000000-0005-0000-0000-000012020000}"/>
    <cellStyle name="Comma 21 3" xfId="490" xr:uid="{00000000-0005-0000-0000-000013020000}"/>
    <cellStyle name="Comma 21 3 2" xfId="1382" xr:uid="{00000000-0005-0000-0000-000014020000}"/>
    <cellStyle name="Comma 21 4" xfId="1380" xr:uid="{00000000-0005-0000-0000-000015020000}"/>
    <cellStyle name="Comma 22" xfId="491" xr:uid="{00000000-0005-0000-0000-000016020000}"/>
    <cellStyle name="Comma 22 2" xfId="1383" xr:uid="{00000000-0005-0000-0000-000017020000}"/>
    <cellStyle name="Comma 23" xfId="492" xr:uid="{00000000-0005-0000-0000-000018020000}"/>
    <cellStyle name="Comma 24" xfId="493" xr:uid="{00000000-0005-0000-0000-000019020000}"/>
    <cellStyle name="Comma 3" xfId="6" xr:uid="{00000000-0005-0000-0000-00001A020000}"/>
    <cellStyle name="Comma 3 2" xfId="57" xr:uid="{00000000-0005-0000-0000-00001B020000}"/>
    <cellStyle name="Comma 3 2 2" xfId="58" xr:uid="{00000000-0005-0000-0000-00001C020000}"/>
    <cellStyle name="Comma 3 2 2 2" xfId="13" xr:uid="{00000000-0005-0000-0000-00001D020000}"/>
    <cellStyle name="Comma 3 2 2 2 2" xfId="1239" xr:uid="{00000000-0005-0000-0000-00001E020000}"/>
    <cellStyle name="Comma 3 2 2 3" xfId="494" xr:uid="{00000000-0005-0000-0000-00001F020000}"/>
    <cellStyle name="Comma 3 2 2 3 2" xfId="1384" xr:uid="{00000000-0005-0000-0000-000020020000}"/>
    <cellStyle name="Comma 3 2 2 4" xfId="495" xr:uid="{00000000-0005-0000-0000-000021020000}"/>
    <cellStyle name="Comma 3 2 2 4 2" xfId="1385" xr:uid="{00000000-0005-0000-0000-000022020000}"/>
    <cellStyle name="Comma 3 2 2 5" xfId="496" xr:uid="{00000000-0005-0000-0000-000023020000}"/>
    <cellStyle name="Comma 3 2 2 5 2" xfId="1386" xr:uid="{00000000-0005-0000-0000-000024020000}"/>
    <cellStyle name="Comma 3 2 2 6" xfId="1272" xr:uid="{00000000-0005-0000-0000-000025020000}"/>
    <cellStyle name="Comma 3 2 3" xfId="497" xr:uid="{00000000-0005-0000-0000-000026020000}"/>
    <cellStyle name="Comma 3 2 3 2" xfId="1387" xr:uid="{00000000-0005-0000-0000-000027020000}"/>
    <cellStyle name="Comma 3 2 4" xfId="498" xr:uid="{00000000-0005-0000-0000-000028020000}"/>
    <cellStyle name="Comma 3 2 4 2" xfId="1388" xr:uid="{00000000-0005-0000-0000-000029020000}"/>
    <cellStyle name="Comma 3 2 5" xfId="499" xr:uid="{00000000-0005-0000-0000-00002A020000}"/>
    <cellStyle name="Comma 3 2 5 2" xfId="1389" xr:uid="{00000000-0005-0000-0000-00002B020000}"/>
    <cellStyle name="Comma 3 2 6" xfId="500" xr:uid="{00000000-0005-0000-0000-00002C020000}"/>
    <cellStyle name="Comma 3 2 6 2" xfId="1390" xr:uid="{00000000-0005-0000-0000-00002D020000}"/>
    <cellStyle name="Comma 3 2 7" xfId="1271" xr:uid="{00000000-0005-0000-0000-00002E020000}"/>
    <cellStyle name="Comma 3 3" xfId="59" xr:uid="{00000000-0005-0000-0000-00002F020000}"/>
    <cellStyle name="Comma 3 3 2" xfId="502" xr:uid="{00000000-0005-0000-0000-000030020000}"/>
    <cellStyle name="Comma 3 3 3" xfId="501" xr:uid="{00000000-0005-0000-0000-000031020000}"/>
    <cellStyle name="Comma 3 3 4" xfId="1273" xr:uid="{00000000-0005-0000-0000-000032020000}"/>
    <cellStyle name="Comma 3 3 5" xfId="1534" xr:uid="{00000000-0005-0000-0000-000033020000}"/>
    <cellStyle name="Comma 3 4" xfId="37" xr:uid="{00000000-0005-0000-0000-000034020000}"/>
    <cellStyle name="Comma 3 4 2" xfId="1257" xr:uid="{00000000-0005-0000-0000-000035020000}"/>
    <cellStyle name="Comma 3 5" xfId="503" xr:uid="{00000000-0005-0000-0000-000036020000}"/>
    <cellStyle name="Comma 3 5 2" xfId="1391" xr:uid="{00000000-0005-0000-0000-000037020000}"/>
    <cellStyle name="Comma 3 6" xfId="504" xr:uid="{00000000-0005-0000-0000-000038020000}"/>
    <cellStyle name="Comma 3 6 2" xfId="1392" xr:uid="{00000000-0005-0000-0000-000039020000}"/>
    <cellStyle name="Comma 3 7" xfId="505" xr:uid="{00000000-0005-0000-0000-00003A020000}"/>
    <cellStyle name="Comma 3 7 2" xfId="1393" xr:uid="{00000000-0005-0000-0000-00003B020000}"/>
    <cellStyle name="Comma 3 8" xfId="506" xr:uid="{00000000-0005-0000-0000-00003C020000}"/>
    <cellStyle name="Comma 3 9" xfId="1235" xr:uid="{00000000-0005-0000-0000-00003D020000}"/>
    <cellStyle name="Comma 4" xfId="60" xr:uid="{00000000-0005-0000-0000-00003E020000}"/>
    <cellStyle name="Comma 4 2" xfId="508" xr:uid="{00000000-0005-0000-0000-00003F020000}"/>
    <cellStyle name="Comma 4 3" xfId="509" xr:uid="{00000000-0005-0000-0000-000040020000}"/>
    <cellStyle name="Comma 4 3 2" xfId="1394" xr:uid="{00000000-0005-0000-0000-000041020000}"/>
    <cellStyle name="Comma 4 4" xfId="507" xr:uid="{00000000-0005-0000-0000-000042020000}"/>
    <cellStyle name="Comma 4 5" xfId="1274" xr:uid="{00000000-0005-0000-0000-000043020000}"/>
    <cellStyle name="Comma 4 6" xfId="1535" xr:uid="{00000000-0005-0000-0000-000044020000}"/>
    <cellStyle name="Comma 5" xfId="61" xr:uid="{00000000-0005-0000-0000-000045020000}"/>
    <cellStyle name="Comma 5 2" xfId="510" xr:uid="{00000000-0005-0000-0000-000046020000}"/>
    <cellStyle name="Comma 5 2 2" xfId="1395" xr:uid="{00000000-0005-0000-0000-000047020000}"/>
    <cellStyle name="Comma 6" xfId="62" xr:uid="{00000000-0005-0000-0000-000048020000}"/>
    <cellStyle name="Comma 6 2" xfId="511" xr:uid="{00000000-0005-0000-0000-000049020000}"/>
    <cellStyle name="Comma 6 2 2" xfId="1396" xr:uid="{00000000-0005-0000-0000-00004A020000}"/>
    <cellStyle name="Comma 6 3" xfId="512" xr:uid="{00000000-0005-0000-0000-00004B020000}"/>
    <cellStyle name="Comma 6 3 2" xfId="1397" xr:uid="{00000000-0005-0000-0000-00004C020000}"/>
    <cellStyle name="Comma 6 4" xfId="513" xr:uid="{00000000-0005-0000-0000-00004D020000}"/>
    <cellStyle name="Comma 6 4 2" xfId="1398" xr:uid="{00000000-0005-0000-0000-00004E020000}"/>
    <cellStyle name="Comma 6 5" xfId="514" xr:uid="{00000000-0005-0000-0000-00004F020000}"/>
    <cellStyle name="Comma 6 5 2" xfId="1399" xr:uid="{00000000-0005-0000-0000-000050020000}"/>
    <cellStyle name="Comma 6 6" xfId="1275" xr:uid="{00000000-0005-0000-0000-000051020000}"/>
    <cellStyle name="Comma 7" xfId="63" xr:uid="{00000000-0005-0000-0000-000052020000}"/>
    <cellStyle name="Comma 7 2" xfId="515" xr:uid="{00000000-0005-0000-0000-000053020000}"/>
    <cellStyle name="Comma 7 2 2" xfId="1400" xr:uid="{00000000-0005-0000-0000-000054020000}"/>
    <cellStyle name="Comma 7 3" xfId="516" xr:uid="{00000000-0005-0000-0000-000055020000}"/>
    <cellStyle name="Comma 7 3 2" xfId="1401" xr:uid="{00000000-0005-0000-0000-000056020000}"/>
    <cellStyle name="Comma 7 4" xfId="517" xr:uid="{00000000-0005-0000-0000-000057020000}"/>
    <cellStyle name="Comma 7 4 2" xfId="1402" xr:uid="{00000000-0005-0000-0000-000058020000}"/>
    <cellStyle name="Comma 7 5" xfId="518" xr:uid="{00000000-0005-0000-0000-000059020000}"/>
    <cellStyle name="Comma 7 5 2" xfId="1403" xr:uid="{00000000-0005-0000-0000-00005A020000}"/>
    <cellStyle name="Comma 7 6" xfId="1276" xr:uid="{00000000-0005-0000-0000-00005B020000}"/>
    <cellStyle name="Comma 8" xfId="64" xr:uid="{00000000-0005-0000-0000-00005C020000}"/>
    <cellStyle name="Comma 8 2" xfId="519" xr:uid="{00000000-0005-0000-0000-00005D020000}"/>
    <cellStyle name="Comma 8 2 2" xfId="1404" xr:uid="{00000000-0005-0000-0000-00005E020000}"/>
    <cellStyle name="Comma 8 3" xfId="520" xr:uid="{00000000-0005-0000-0000-00005F020000}"/>
    <cellStyle name="Comma 8 3 2" xfId="1405" xr:uid="{00000000-0005-0000-0000-000060020000}"/>
    <cellStyle name="Comma 8 4" xfId="521" xr:uid="{00000000-0005-0000-0000-000061020000}"/>
    <cellStyle name="Comma 8 4 2" xfId="1406" xr:uid="{00000000-0005-0000-0000-000062020000}"/>
    <cellStyle name="Comma 8 5" xfId="522" xr:uid="{00000000-0005-0000-0000-000063020000}"/>
    <cellStyle name="Comma 8 5 2" xfId="1407" xr:uid="{00000000-0005-0000-0000-000064020000}"/>
    <cellStyle name="Comma 8 6" xfId="1277" xr:uid="{00000000-0005-0000-0000-000065020000}"/>
    <cellStyle name="Comma 9" xfId="65" xr:uid="{00000000-0005-0000-0000-000066020000}"/>
    <cellStyle name="Comma 9 2" xfId="523" xr:uid="{00000000-0005-0000-0000-000067020000}"/>
    <cellStyle name="Comma 9 2 2" xfId="1408" xr:uid="{00000000-0005-0000-0000-000068020000}"/>
    <cellStyle name="Comma 9 3" xfId="524" xr:uid="{00000000-0005-0000-0000-000069020000}"/>
    <cellStyle name="Comma 9 3 2" xfId="1409" xr:uid="{00000000-0005-0000-0000-00006A020000}"/>
    <cellStyle name="Comma 9 4" xfId="525" xr:uid="{00000000-0005-0000-0000-00006B020000}"/>
    <cellStyle name="Comma 9 4 2" xfId="1410" xr:uid="{00000000-0005-0000-0000-00006C020000}"/>
    <cellStyle name="Comma 9 5" xfId="526" xr:uid="{00000000-0005-0000-0000-00006D020000}"/>
    <cellStyle name="Comma 9 5 2" xfId="1411" xr:uid="{00000000-0005-0000-0000-00006E020000}"/>
    <cellStyle name="Comma 9 6" xfId="1278" xr:uid="{00000000-0005-0000-0000-00006F020000}"/>
    <cellStyle name="Comma0" xfId="527" xr:uid="{00000000-0005-0000-0000-000070020000}"/>
    <cellStyle name="Comma0 2" xfId="1412" xr:uid="{00000000-0005-0000-0000-000071020000}"/>
    <cellStyle name="Controlecel" xfId="528" xr:uid="{00000000-0005-0000-0000-000072020000}"/>
    <cellStyle name="Currency [0] 2" xfId="529" xr:uid="{00000000-0005-0000-0000-000073020000}"/>
    <cellStyle name="Currency [0] 2 2" xfId="1413" xr:uid="{00000000-0005-0000-0000-000074020000}"/>
    <cellStyle name="Currency 10" xfId="530" xr:uid="{00000000-0005-0000-0000-000075020000}"/>
    <cellStyle name="Currency 10 2" xfId="531" xr:uid="{00000000-0005-0000-0000-000076020000}"/>
    <cellStyle name="Currency 11" xfId="532" xr:uid="{00000000-0005-0000-0000-000077020000}"/>
    <cellStyle name="Currency 13" xfId="533" xr:uid="{00000000-0005-0000-0000-000078020000}"/>
    <cellStyle name="Currency 13 2" xfId="534" xr:uid="{00000000-0005-0000-0000-000079020000}"/>
    <cellStyle name="Currency 14" xfId="535" xr:uid="{00000000-0005-0000-0000-00007A020000}"/>
    <cellStyle name="Currency 14 2" xfId="536" xr:uid="{00000000-0005-0000-0000-00007B020000}"/>
    <cellStyle name="Currency 2" xfId="66" xr:uid="{00000000-0005-0000-0000-00007C020000}"/>
    <cellStyle name="Currency 2 2" xfId="67" xr:uid="{00000000-0005-0000-0000-00007D020000}"/>
    <cellStyle name="Currency 2 2 2" xfId="538" xr:uid="{00000000-0005-0000-0000-00007E020000}"/>
    <cellStyle name="Currency 2 2 3" xfId="539" xr:uid="{00000000-0005-0000-0000-00007F020000}"/>
    <cellStyle name="Currency 2 2 3 2" xfId="1414" xr:uid="{00000000-0005-0000-0000-000080020000}"/>
    <cellStyle name="Currency 2 2 4" xfId="540" xr:uid="{00000000-0005-0000-0000-000081020000}"/>
    <cellStyle name="Currency 2 2 4 2" xfId="1415" xr:uid="{00000000-0005-0000-0000-000082020000}"/>
    <cellStyle name="Currency 2 2 5" xfId="537" xr:uid="{00000000-0005-0000-0000-000083020000}"/>
    <cellStyle name="Currency 2 2 6" xfId="1279" xr:uid="{00000000-0005-0000-0000-000084020000}"/>
    <cellStyle name="Currency 2 2 7" xfId="1536" xr:uid="{00000000-0005-0000-0000-000085020000}"/>
    <cellStyle name="Currency 2 3" xfId="541" xr:uid="{00000000-0005-0000-0000-000086020000}"/>
    <cellStyle name="Currency 2 3 2" xfId="542" xr:uid="{00000000-0005-0000-0000-000087020000}"/>
    <cellStyle name="Currency 2 3 2 2" xfId="1416" xr:uid="{00000000-0005-0000-0000-000088020000}"/>
    <cellStyle name="Currency 2 4" xfId="543" xr:uid="{00000000-0005-0000-0000-000089020000}"/>
    <cellStyle name="Currency 2 5" xfId="544" xr:uid="{00000000-0005-0000-0000-00008A020000}"/>
    <cellStyle name="Currency 2 6" xfId="545" xr:uid="{00000000-0005-0000-0000-00008B020000}"/>
    <cellStyle name="Currency 2 7" xfId="546" xr:uid="{00000000-0005-0000-0000-00008C020000}"/>
    <cellStyle name="Currency 2 7 2" xfId="1417" xr:uid="{00000000-0005-0000-0000-00008D020000}"/>
    <cellStyle name="Currency 2 8" xfId="547" xr:uid="{00000000-0005-0000-0000-00008E020000}"/>
    <cellStyle name="Currency 2 8 2" xfId="1418" xr:uid="{00000000-0005-0000-0000-00008F020000}"/>
    <cellStyle name="Currency 3" xfId="548" xr:uid="{00000000-0005-0000-0000-000090020000}"/>
    <cellStyle name="Currency 3 2" xfId="549" xr:uid="{00000000-0005-0000-0000-000091020000}"/>
    <cellStyle name="Currency 3 3" xfId="550" xr:uid="{00000000-0005-0000-0000-000092020000}"/>
    <cellStyle name="Currency 3 3 2" xfId="1419" xr:uid="{00000000-0005-0000-0000-000093020000}"/>
    <cellStyle name="Currency 4" xfId="551" xr:uid="{00000000-0005-0000-0000-000094020000}"/>
    <cellStyle name="Currency 5" xfId="552" xr:uid="{00000000-0005-0000-0000-000095020000}"/>
    <cellStyle name="Currency 6" xfId="553" xr:uid="{00000000-0005-0000-0000-000096020000}"/>
    <cellStyle name="Currency 7" xfId="554" xr:uid="{00000000-0005-0000-0000-000097020000}"/>
    <cellStyle name="Currency 8" xfId="555" xr:uid="{00000000-0005-0000-0000-000098020000}"/>
    <cellStyle name="Currency 9" xfId="556" xr:uid="{00000000-0005-0000-0000-000099020000}"/>
    <cellStyle name="Currency 9 2" xfId="557" xr:uid="{00000000-0005-0000-0000-00009A020000}"/>
    <cellStyle name="Currency0" xfId="558" xr:uid="{00000000-0005-0000-0000-00009B020000}"/>
    <cellStyle name="Date" xfId="559" xr:uid="{00000000-0005-0000-0000-00009C020000}"/>
    <cellStyle name="Date 2" xfId="1420" xr:uid="{00000000-0005-0000-0000-00009D020000}"/>
    <cellStyle name="Excel Built-in Normal" xfId="68" xr:uid="{00000000-0005-0000-0000-00009E020000}"/>
    <cellStyle name="Explanatory Text 2" xfId="560" xr:uid="{00000000-0005-0000-0000-00009F020000}"/>
    <cellStyle name="Explanatory Text 3" xfId="561" xr:uid="{00000000-0005-0000-0000-0000A0020000}"/>
    <cellStyle name="Fixed" xfId="562" xr:uid="{00000000-0005-0000-0000-0000A1020000}"/>
    <cellStyle name="Fixed 2" xfId="1421" xr:uid="{00000000-0005-0000-0000-0000A2020000}"/>
    <cellStyle name="Gekoppelde cel" xfId="563" xr:uid="{00000000-0005-0000-0000-0000A3020000}"/>
    <cellStyle name="Goed" xfId="564" xr:uid="{00000000-0005-0000-0000-0000A4020000}"/>
    <cellStyle name="Good 2" xfId="565" xr:uid="{00000000-0005-0000-0000-0000A5020000}"/>
    <cellStyle name="Good 3" xfId="566" xr:uid="{00000000-0005-0000-0000-0000A6020000}"/>
    <cellStyle name="Grey" xfId="567" xr:uid="{00000000-0005-0000-0000-0000A7020000}"/>
    <cellStyle name="Header1" xfId="568" xr:uid="{00000000-0005-0000-0000-0000A8020000}"/>
    <cellStyle name="Header2" xfId="569" xr:uid="{00000000-0005-0000-0000-0000A9020000}"/>
    <cellStyle name="Heading 1 2" xfId="570" xr:uid="{00000000-0005-0000-0000-0000AA020000}"/>
    <cellStyle name="Heading 1 3" xfId="571" xr:uid="{00000000-0005-0000-0000-0000AB020000}"/>
    <cellStyle name="Heading 2 2" xfId="572" xr:uid="{00000000-0005-0000-0000-0000AC020000}"/>
    <cellStyle name="Heading 2 3" xfId="573" xr:uid="{00000000-0005-0000-0000-0000AD020000}"/>
    <cellStyle name="Heading 3 2" xfId="574" xr:uid="{00000000-0005-0000-0000-0000AE020000}"/>
    <cellStyle name="Heading 3 3" xfId="575" xr:uid="{00000000-0005-0000-0000-0000AF020000}"/>
    <cellStyle name="Heading 4 2" xfId="576" xr:uid="{00000000-0005-0000-0000-0000B0020000}"/>
    <cellStyle name="Heading 4 3" xfId="577" xr:uid="{00000000-0005-0000-0000-0000B1020000}"/>
    <cellStyle name="Hyperlink" xfId="1556" builtinId="8"/>
    <cellStyle name="Hyperlink 2" xfId="9" xr:uid="{00000000-0005-0000-0000-0000B3020000}"/>
    <cellStyle name="Hyperlink 2 2" xfId="69" xr:uid="{00000000-0005-0000-0000-0000B4020000}"/>
    <cellStyle name="Hyperlink 2 2 2" xfId="578" xr:uid="{00000000-0005-0000-0000-0000B5020000}"/>
    <cellStyle name="Hyperlink 2 3" xfId="579" xr:uid="{00000000-0005-0000-0000-0000B6020000}"/>
    <cellStyle name="Hyperlink 3" xfId="70" xr:uid="{00000000-0005-0000-0000-0000B7020000}"/>
    <cellStyle name="Hyperlink 3 2" xfId="580" xr:uid="{00000000-0005-0000-0000-0000B8020000}"/>
    <cellStyle name="Input [yellow]" xfId="581" xr:uid="{00000000-0005-0000-0000-0000B9020000}"/>
    <cellStyle name="Input 2" xfId="582" xr:uid="{00000000-0005-0000-0000-0000BA020000}"/>
    <cellStyle name="Input 3" xfId="583" xr:uid="{00000000-0005-0000-0000-0000BB020000}"/>
    <cellStyle name="Invoer" xfId="584" xr:uid="{00000000-0005-0000-0000-0000BC020000}"/>
    <cellStyle name="Komma 2" xfId="585" xr:uid="{00000000-0005-0000-0000-0000BD020000}"/>
    <cellStyle name="Komma 2 2" xfId="586" xr:uid="{00000000-0005-0000-0000-0000BE020000}"/>
    <cellStyle name="Komma 2 3" xfId="587" xr:uid="{00000000-0005-0000-0000-0000BF020000}"/>
    <cellStyle name="Kop 1" xfId="588" xr:uid="{00000000-0005-0000-0000-0000C0020000}"/>
    <cellStyle name="Kop 2" xfId="589" xr:uid="{00000000-0005-0000-0000-0000C1020000}"/>
    <cellStyle name="Kop 3" xfId="590" xr:uid="{00000000-0005-0000-0000-0000C2020000}"/>
    <cellStyle name="Kop 4" xfId="591" xr:uid="{00000000-0005-0000-0000-0000C3020000}"/>
    <cellStyle name="Ledger 17 x 11 in" xfId="2" xr:uid="{00000000-0005-0000-0000-0000C4020000}"/>
    <cellStyle name="Ledger 17 x 11 in 10" xfId="592" xr:uid="{00000000-0005-0000-0000-0000C5020000}"/>
    <cellStyle name="Ledger 17 x 11 in 11" xfId="1231" xr:uid="{00000000-0005-0000-0000-0000C6020000}"/>
    <cellStyle name="Ledger 17 x 11 in 2" xfId="8" xr:uid="{00000000-0005-0000-0000-0000C7020000}"/>
    <cellStyle name="Ledger 17 x 11 in 2 2" xfId="71" xr:uid="{00000000-0005-0000-0000-0000C8020000}"/>
    <cellStyle name="Ledger 17 x 11 in 2 3" xfId="72" xr:uid="{00000000-0005-0000-0000-0000C9020000}"/>
    <cellStyle name="Ledger 17 x 11 in 2 3 2" xfId="593" xr:uid="{00000000-0005-0000-0000-0000CA020000}"/>
    <cellStyle name="Ledger 17 x 11 in 2 3 2 2" xfId="1422" xr:uid="{00000000-0005-0000-0000-0000CB020000}"/>
    <cellStyle name="Ledger 17 x 11 in 2 3 3" xfId="594" xr:uid="{00000000-0005-0000-0000-0000CC020000}"/>
    <cellStyle name="Ledger 17 x 11 in 2 3 3 2" xfId="1423" xr:uid="{00000000-0005-0000-0000-0000CD020000}"/>
    <cellStyle name="Ledger 17 x 11 in 2 3 4" xfId="595" xr:uid="{00000000-0005-0000-0000-0000CE020000}"/>
    <cellStyle name="Ledger 17 x 11 in 2 3 4 2" xfId="1424" xr:uid="{00000000-0005-0000-0000-0000CF020000}"/>
    <cellStyle name="Ledger 17 x 11 in 2 3 5" xfId="596" xr:uid="{00000000-0005-0000-0000-0000D0020000}"/>
    <cellStyle name="Ledger 17 x 11 in 2 3 5 2" xfId="1425" xr:uid="{00000000-0005-0000-0000-0000D1020000}"/>
    <cellStyle name="Ledger 17 x 11 in 2 3 6" xfId="1280" xr:uid="{00000000-0005-0000-0000-0000D2020000}"/>
    <cellStyle name="Ledger 17 x 11 in 3" xfId="4" xr:uid="{00000000-0005-0000-0000-0000D3020000}"/>
    <cellStyle name="Ledger 17 x 11 in 3 2" xfId="73" xr:uid="{00000000-0005-0000-0000-0000D4020000}"/>
    <cellStyle name="Ledger 17 x 11 in 3 2 2" xfId="5" xr:uid="{00000000-0005-0000-0000-0000D5020000}"/>
    <cellStyle name="Ledger 17 x 11 in 3 2 2 2" xfId="1234" xr:uid="{00000000-0005-0000-0000-0000D6020000}"/>
    <cellStyle name="Ledger 17 x 11 in 3 2 3" xfId="597" xr:uid="{00000000-0005-0000-0000-0000D7020000}"/>
    <cellStyle name="Ledger 17 x 11 in 3 2 3 2" xfId="1426" xr:uid="{00000000-0005-0000-0000-0000D8020000}"/>
    <cellStyle name="Ledger 17 x 11 in 3 2 4" xfId="598" xr:uid="{00000000-0005-0000-0000-0000D9020000}"/>
    <cellStyle name="Ledger 17 x 11 in 3 2 4 2" xfId="1427" xr:uid="{00000000-0005-0000-0000-0000DA020000}"/>
    <cellStyle name="Ledger 17 x 11 in 3 2 5" xfId="599" xr:uid="{00000000-0005-0000-0000-0000DB020000}"/>
    <cellStyle name="Ledger 17 x 11 in 3 2 5 2" xfId="1428" xr:uid="{00000000-0005-0000-0000-0000DC020000}"/>
    <cellStyle name="Ledger 17 x 11 in 3 2 6" xfId="1281" xr:uid="{00000000-0005-0000-0000-0000DD020000}"/>
    <cellStyle name="Ledger 17 x 11 in 3 3" xfId="600" xr:uid="{00000000-0005-0000-0000-0000DE020000}"/>
    <cellStyle name="Ledger 17 x 11 in 3 3 2" xfId="1429" xr:uid="{00000000-0005-0000-0000-0000DF020000}"/>
    <cellStyle name="Ledger 17 x 11 in 3 4" xfId="601" xr:uid="{00000000-0005-0000-0000-0000E0020000}"/>
    <cellStyle name="Ledger 17 x 11 in 3 4 2" xfId="1430" xr:uid="{00000000-0005-0000-0000-0000E1020000}"/>
    <cellStyle name="Ledger 17 x 11 in 3 5" xfId="602" xr:uid="{00000000-0005-0000-0000-0000E2020000}"/>
    <cellStyle name="Ledger 17 x 11 in 3 5 2" xfId="1431" xr:uid="{00000000-0005-0000-0000-0000E3020000}"/>
    <cellStyle name="Ledger 17 x 11 in 3 6" xfId="7" xr:uid="{00000000-0005-0000-0000-0000E4020000}"/>
    <cellStyle name="Ledger 17 x 11 in 3 6 2" xfId="1236" xr:uid="{00000000-0005-0000-0000-0000E5020000}"/>
    <cellStyle name="Ledger 17 x 11 in 3 7" xfId="1233" xr:uid="{00000000-0005-0000-0000-0000E6020000}"/>
    <cellStyle name="Ledger 17 x 11 in 4" xfId="74" xr:uid="{00000000-0005-0000-0000-0000E7020000}"/>
    <cellStyle name="Ledger 17 x 11 in 4 2" xfId="75" xr:uid="{00000000-0005-0000-0000-0000E8020000}"/>
    <cellStyle name="Ledger 17 x 11 in 4 2 2" xfId="603" xr:uid="{00000000-0005-0000-0000-0000E9020000}"/>
    <cellStyle name="Ledger 17 x 11 in 4 2 2 2" xfId="1432" xr:uid="{00000000-0005-0000-0000-0000EA020000}"/>
    <cellStyle name="Ledger 17 x 11 in 4 2 3" xfId="604" xr:uid="{00000000-0005-0000-0000-0000EB020000}"/>
    <cellStyle name="Ledger 17 x 11 in 4 2 3 2" xfId="1433" xr:uid="{00000000-0005-0000-0000-0000EC020000}"/>
    <cellStyle name="Ledger 17 x 11 in 4 2 4" xfId="605" xr:uid="{00000000-0005-0000-0000-0000ED020000}"/>
    <cellStyle name="Ledger 17 x 11 in 4 2 4 2" xfId="1434" xr:uid="{00000000-0005-0000-0000-0000EE020000}"/>
    <cellStyle name="Ledger 17 x 11 in 4 2 5" xfId="606" xr:uid="{00000000-0005-0000-0000-0000EF020000}"/>
    <cellStyle name="Ledger 17 x 11 in 4 2 5 2" xfId="1435" xr:uid="{00000000-0005-0000-0000-0000F0020000}"/>
    <cellStyle name="Ledger 17 x 11 in 4 2 6" xfId="1283" xr:uid="{00000000-0005-0000-0000-0000F1020000}"/>
    <cellStyle name="Ledger 17 x 11 in 4 3" xfId="607" xr:uid="{00000000-0005-0000-0000-0000F2020000}"/>
    <cellStyle name="Ledger 17 x 11 in 4 3 2" xfId="1436" xr:uid="{00000000-0005-0000-0000-0000F3020000}"/>
    <cellStyle name="Ledger 17 x 11 in 4 4" xfId="608" xr:uid="{00000000-0005-0000-0000-0000F4020000}"/>
    <cellStyle name="Ledger 17 x 11 in 4 4 2" xfId="1437" xr:uid="{00000000-0005-0000-0000-0000F5020000}"/>
    <cellStyle name="Ledger 17 x 11 in 4 5" xfId="609" xr:uid="{00000000-0005-0000-0000-0000F6020000}"/>
    <cellStyle name="Ledger 17 x 11 in 4 5 2" xfId="1438" xr:uid="{00000000-0005-0000-0000-0000F7020000}"/>
    <cellStyle name="Ledger 17 x 11 in 4 6" xfId="610" xr:uid="{00000000-0005-0000-0000-0000F8020000}"/>
    <cellStyle name="Ledger 17 x 11 in 4 6 2" xfId="1439" xr:uid="{00000000-0005-0000-0000-0000F9020000}"/>
    <cellStyle name="Ledger 17 x 11 in 4 7" xfId="1282" xr:uid="{00000000-0005-0000-0000-0000FA020000}"/>
    <cellStyle name="Ledger 17 x 11 in 5" xfId="76" xr:uid="{00000000-0005-0000-0000-0000FB020000}"/>
    <cellStyle name="Ledger 17 x 11 in 5 2" xfId="77" xr:uid="{00000000-0005-0000-0000-0000FC020000}"/>
    <cellStyle name="Ledger 17 x 11 in 5 2 2" xfId="3" xr:uid="{00000000-0005-0000-0000-0000FD020000}"/>
    <cellStyle name="Ledger 17 x 11 in 5 2 2 2" xfId="1232" xr:uid="{00000000-0005-0000-0000-0000FE020000}"/>
    <cellStyle name="Ledger 17 x 11 in 5 2 3" xfId="611" xr:uid="{00000000-0005-0000-0000-0000FF020000}"/>
    <cellStyle name="Ledger 17 x 11 in 5 2 3 2" xfId="1440" xr:uid="{00000000-0005-0000-0000-000000030000}"/>
    <cellStyle name="Ledger 17 x 11 in 5 2 4" xfId="612" xr:uid="{00000000-0005-0000-0000-000001030000}"/>
    <cellStyle name="Ledger 17 x 11 in 5 2 4 2" xfId="1441" xr:uid="{00000000-0005-0000-0000-000002030000}"/>
    <cellStyle name="Ledger 17 x 11 in 5 2 5" xfId="613" xr:uid="{00000000-0005-0000-0000-000003030000}"/>
    <cellStyle name="Ledger 17 x 11 in 5 2 5 2" xfId="1442" xr:uid="{00000000-0005-0000-0000-000004030000}"/>
    <cellStyle name="Ledger 17 x 11 in 5 2 6" xfId="1285" xr:uid="{00000000-0005-0000-0000-000005030000}"/>
    <cellStyle name="Ledger 17 x 11 in 5 3" xfId="614" xr:uid="{00000000-0005-0000-0000-000006030000}"/>
    <cellStyle name="Ledger 17 x 11 in 5 3 2" xfId="1443" xr:uid="{00000000-0005-0000-0000-000007030000}"/>
    <cellStyle name="Ledger 17 x 11 in 5 4" xfId="615" xr:uid="{00000000-0005-0000-0000-000008030000}"/>
    <cellStyle name="Ledger 17 x 11 in 5 4 2" xfId="1444" xr:uid="{00000000-0005-0000-0000-000009030000}"/>
    <cellStyle name="Ledger 17 x 11 in 5 5" xfId="616" xr:uid="{00000000-0005-0000-0000-00000A030000}"/>
    <cellStyle name="Ledger 17 x 11 in 5 5 2" xfId="1445" xr:uid="{00000000-0005-0000-0000-00000B030000}"/>
    <cellStyle name="Ledger 17 x 11 in 5 6" xfId="617" xr:uid="{00000000-0005-0000-0000-00000C030000}"/>
    <cellStyle name="Ledger 17 x 11 in 5 6 2" xfId="1446" xr:uid="{00000000-0005-0000-0000-00000D030000}"/>
    <cellStyle name="Ledger 17 x 11 in 5 7" xfId="1284" xr:uid="{00000000-0005-0000-0000-00000E030000}"/>
    <cellStyle name="Ledger 17 x 11 in 6" xfId="78" xr:uid="{00000000-0005-0000-0000-00000F030000}"/>
    <cellStyle name="Ledger 17 x 11 in 6 2" xfId="618" xr:uid="{00000000-0005-0000-0000-000010030000}"/>
    <cellStyle name="Ledger 17 x 11 in 6 2 2" xfId="1447" xr:uid="{00000000-0005-0000-0000-000011030000}"/>
    <cellStyle name="Ledger 17 x 11 in 6 3" xfId="619" xr:uid="{00000000-0005-0000-0000-000012030000}"/>
    <cellStyle name="Ledger 17 x 11 in 6 3 2" xfId="1448" xr:uid="{00000000-0005-0000-0000-000013030000}"/>
    <cellStyle name="Ledger 17 x 11 in 6 4" xfId="620" xr:uid="{00000000-0005-0000-0000-000014030000}"/>
    <cellStyle name="Ledger 17 x 11 in 6 4 2" xfId="1449" xr:uid="{00000000-0005-0000-0000-000015030000}"/>
    <cellStyle name="Ledger 17 x 11 in 6 5" xfId="621" xr:uid="{00000000-0005-0000-0000-000016030000}"/>
    <cellStyle name="Ledger 17 x 11 in 6 5 2" xfId="1450" xr:uid="{00000000-0005-0000-0000-000017030000}"/>
    <cellStyle name="Ledger 17 x 11 in 6 6" xfId="1286" xr:uid="{00000000-0005-0000-0000-000018030000}"/>
    <cellStyle name="Ledger 17 x 11 in 7" xfId="79" xr:uid="{00000000-0005-0000-0000-000019030000}"/>
    <cellStyle name="Ledger 17 x 11 in 7 2" xfId="80" xr:uid="{00000000-0005-0000-0000-00001A030000}"/>
    <cellStyle name="Ledger 17 x 11 in 7 2 2" xfId="81" xr:uid="{00000000-0005-0000-0000-00001B030000}"/>
    <cellStyle name="Ledger 17 x 11 in 7 2 2 2" xfId="1288" xr:uid="{00000000-0005-0000-0000-00001C030000}"/>
    <cellStyle name="Ledger 17 x 11 in 7 3" xfId="1287" xr:uid="{00000000-0005-0000-0000-00001D030000}"/>
    <cellStyle name="Ledger 17 x 11 in 8" xfId="622" xr:uid="{00000000-0005-0000-0000-00001E030000}"/>
    <cellStyle name="Ledger 17 x 11 in 8 2" xfId="623" xr:uid="{00000000-0005-0000-0000-00001F030000}"/>
    <cellStyle name="Ledger 17 x 11 in 8 2 2" xfId="1452" xr:uid="{00000000-0005-0000-0000-000020030000}"/>
    <cellStyle name="Ledger 17 x 11 in 8 3" xfId="1451" xr:uid="{00000000-0005-0000-0000-000021030000}"/>
    <cellStyle name="Ledger 17 x 11 in 9" xfId="624" xr:uid="{00000000-0005-0000-0000-000022030000}"/>
    <cellStyle name="Ledger 17 x 11 in 9 2" xfId="1453" xr:uid="{00000000-0005-0000-0000-000023030000}"/>
    <cellStyle name="Linked Cell 2" xfId="625" xr:uid="{00000000-0005-0000-0000-000024030000}"/>
    <cellStyle name="Linked Cell 3" xfId="626" xr:uid="{00000000-0005-0000-0000-000025030000}"/>
    <cellStyle name="MS Sans Serif" xfId="627" xr:uid="{00000000-0005-0000-0000-000026030000}"/>
    <cellStyle name="MS Sans Serif 10" xfId="628" xr:uid="{00000000-0005-0000-0000-000027030000}"/>
    <cellStyle name="MS Sans Serif 10 2" xfId="629" xr:uid="{00000000-0005-0000-0000-000028030000}"/>
    <cellStyle name="MS Sans Serif 11" xfId="630" xr:uid="{00000000-0005-0000-0000-000029030000}"/>
    <cellStyle name="MS Sans Serif 11 2" xfId="631" xr:uid="{00000000-0005-0000-0000-00002A030000}"/>
    <cellStyle name="MS Sans Serif 12" xfId="632" xr:uid="{00000000-0005-0000-0000-00002B030000}"/>
    <cellStyle name="MS Sans Serif 12 2" xfId="633" xr:uid="{00000000-0005-0000-0000-00002C030000}"/>
    <cellStyle name="MS Sans Serif 13" xfId="634" xr:uid="{00000000-0005-0000-0000-00002D030000}"/>
    <cellStyle name="MS Sans Serif 13 2" xfId="635" xr:uid="{00000000-0005-0000-0000-00002E030000}"/>
    <cellStyle name="MS Sans Serif 14" xfId="636" xr:uid="{00000000-0005-0000-0000-00002F030000}"/>
    <cellStyle name="MS Sans Serif 14 2" xfId="637" xr:uid="{00000000-0005-0000-0000-000030030000}"/>
    <cellStyle name="MS Sans Serif 15" xfId="638" xr:uid="{00000000-0005-0000-0000-000031030000}"/>
    <cellStyle name="MS Sans Serif 15 2" xfId="639" xr:uid="{00000000-0005-0000-0000-000032030000}"/>
    <cellStyle name="MS Sans Serif 16" xfId="640" xr:uid="{00000000-0005-0000-0000-000033030000}"/>
    <cellStyle name="MS Sans Serif 16 2" xfId="641" xr:uid="{00000000-0005-0000-0000-000034030000}"/>
    <cellStyle name="MS Sans Serif 17" xfId="642" xr:uid="{00000000-0005-0000-0000-000035030000}"/>
    <cellStyle name="MS Sans Serif 17 2" xfId="643" xr:uid="{00000000-0005-0000-0000-000036030000}"/>
    <cellStyle name="MS Sans Serif 18" xfId="644" xr:uid="{00000000-0005-0000-0000-000037030000}"/>
    <cellStyle name="MS Sans Serif 18 2" xfId="645" xr:uid="{00000000-0005-0000-0000-000038030000}"/>
    <cellStyle name="MS Sans Serif 19" xfId="646" xr:uid="{00000000-0005-0000-0000-000039030000}"/>
    <cellStyle name="MS Sans Serif 19 2" xfId="647" xr:uid="{00000000-0005-0000-0000-00003A030000}"/>
    <cellStyle name="MS Sans Serif 2" xfId="648" xr:uid="{00000000-0005-0000-0000-00003B030000}"/>
    <cellStyle name="MS Sans Serif 2 2" xfId="649" xr:uid="{00000000-0005-0000-0000-00003C030000}"/>
    <cellStyle name="MS Sans Serif 20" xfId="650" xr:uid="{00000000-0005-0000-0000-00003D030000}"/>
    <cellStyle name="MS Sans Serif 20 2" xfId="651" xr:uid="{00000000-0005-0000-0000-00003E030000}"/>
    <cellStyle name="MS Sans Serif 21" xfId="652" xr:uid="{00000000-0005-0000-0000-00003F030000}"/>
    <cellStyle name="MS Sans Serif 21 2" xfId="653" xr:uid="{00000000-0005-0000-0000-000040030000}"/>
    <cellStyle name="MS Sans Serif 22" xfId="654" xr:uid="{00000000-0005-0000-0000-000041030000}"/>
    <cellStyle name="MS Sans Serif 22 2" xfId="655" xr:uid="{00000000-0005-0000-0000-000042030000}"/>
    <cellStyle name="MS Sans Serif 23" xfId="656" xr:uid="{00000000-0005-0000-0000-000043030000}"/>
    <cellStyle name="MS Sans Serif 23 2" xfId="657" xr:uid="{00000000-0005-0000-0000-000044030000}"/>
    <cellStyle name="MS Sans Serif 24" xfId="658" xr:uid="{00000000-0005-0000-0000-000045030000}"/>
    <cellStyle name="MS Sans Serif 24 2" xfId="659" xr:uid="{00000000-0005-0000-0000-000046030000}"/>
    <cellStyle name="MS Sans Serif 25" xfId="660" xr:uid="{00000000-0005-0000-0000-000047030000}"/>
    <cellStyle name="MS Sans Serif 25 2" xfId="661" xr:uid="{00000000-0005-0000-0000-000048030000}"/>
    <cellStyle name="MS Sans Serif 26" xfId="662" xr:uid="{00000000-0005-0000-0000-000049030000}"/>
    <cellStyle name="MS Sans Serif 26 2" xfId="663" xr:uid="{00000000-0005-0000-0000-00004A030000}"/>
    <cellStyle name="MS Sans Serif 27" xfId="664" xr:uid="{00000000-0005-0000-0000-00004B030000}"/>
    <cellStyle name="MS Sans Serif 27 2" xfId="665" xr:uid="{00000000-0005-0000-0000-00004C030000}"/>
    <cellStyle name="MS Sans Serif 28" xfId="666" xr:uid="{00000000-0005-0000-0000-00004D030000}"/>
    <cellStyle name="MS Sans Serif 28 2" xfId="667" xr:uid="{00000000-0005-0000-0000-00004E030000}"/>
    <cellStyle name="MS Sans Serif 29" xfId="668" xr:uid="{00000000-0005-0000-0000-00004F030000}"/>
    <cellStyle name="MS Sans Serif 29 2" xfId="669" xr:uid="{00000000-0005-0000-0000-000050030000}"/>
    <cellStyle name="MS Sans Serif 3" xfId="670" xr:uid="{00000000-0005-0000-0000-000051030000}"/>
    <cellStyle name="MS Sans Serif 3 2" xfId="671" xr:uid="{00000000-0005-0000-0000-000052030000}"/>
    <cellStyle name="MS Sans Serif 30" xfId="672" xr:uid="{00000000-0005-0000-0000-000053030000}"/>
    <cellStyle name="MS Sans Serif 30 2" xfId="673" xr:uid="{00000000-0005-0000-0000-000054030000}"/>
    <cellStyle name="MS Sans Serif 31" xfId="674" xr:uid="{00000000-0005-0000-0000-000055030000}"/>
    <cellStyle name="MS Sans Serif 31 2" xfId="675" xr:uid="{00000000-0005-0000-0000-000056030000}"/>
    <cellStyle name="MS Sans Serif 32" xfId="676" xr:uid="{00000000-0005-0000-0000-000057030000}"/>
    <cellStyle name="MS Sans Serif 32 2" xfId="677" xr:uid="{00000000-0005-0000-0000-000058030000}"/>
    <cellStyle name="MS Sans Serif 33" xfId="678" xr:uid="{00000000-0005-0000-0000-000059030000}"/>
    <cellStyle name="MS Sans Serif 33 2" xfId="679" xr:uid="{00000000-0005-0000-0000-00005A030000}"/>
    <cellStyle name="MS Sans Serif 34" xfId="680" xr:uid="{00000000-0005-0000-0000-00005B030000}"/>
    <cellStyle name="MS Sans Serif 34 2" xfId="681" xr:uid="{00000000-0005-0000-0000-00005C030000}"/>
    <cellStyle name="MS Sans Serif 35" xfId="682" xr:uid="{00000000-0005-0000-0000-00005D030000}"/>
    <cellStyle name="MS Sans Serif 35 2" xfId="683" xr:uid="{00000000-0005-0000-0000-00005E030000}"/>
    <cellStyle name="MS Sans Serif 36" xfId="684" xr:uid="{00000000-0005-0000-0000-00005F030000}"/>
    <cellStyle name="MS Sans Serif 36 2" xfId="685" xr:uid="{00000000-0005-0000-0000-000060030000}"/>
    <cellStyle name="MS Sans Serif 37" xfId="686" xr:uid="{00000000-0005-0000-0000-000061030000}"/>
    <cellStyle name="MS Sans Serif 37 2" xfId="687" xr:uid="{00000000-0005-0000-0000-000062030000}"/>
    <cellStyle name="MS Sans Serif 38" xfId="688" xr:uid="{00000000-0005-0000-0000-000063030000}"/>
    <cellStyle name="MS Sans Serif 38 2" xfId="689" xr:uid="{00000000-0005-0000-0000-000064030000}"/>
    <cellStyle name="MS Sans Serif 39" xfId="690" xr:uid="{00000000-0005-0000-0000-000065030000}"/>
    <cellStyle name="MS Sans Serif 39 2" xfId="691" xr:uid="{00000000-0005-0000-0000-000066030000}"/>
    <cellStyle name="MS Sans Serif 4" xfId="692" xr:uid="{00000000-0005-0000-0000-000067030000}"/>
    <cellStyle name="MS Sans Serif 4 2" xfId="693" xr:uid="{00000000-0005-0000-0000-000068030000}"/>
    <cellStyle name="MS Sans Serif 40" xfId="694" xr:uid="{00000000-0005-0000-0000-000069030000}"/>
    <cellStyle name="MS Sans Serif 40 2" xfId="695" xr:uid="{00000000-0005-0000-0000-00006A030000}"/>
    <cellStyle name="MS Sans Serif 41" xfId="696" xr:uid="{00000000-0005-0000-0000-00006B030000}"/>
    <cellStyle name="MS Sans Serif 41 2" xfId="697" xr:uid="{00000000-0005-0000-0000-00006C030000}"/>
    <cellStyle name="MS Sans Serif 42" xfId="698" xr:uid="{00000000-0005-0000-0000-00006D030000}"/>
    <cellStyle name="MS Sans Serif 42 2" xfId="699" xr:uid="{00000000-0005-0000-0000-00006E030000}"/>
    <cellStyle name="MS Sans Serif 43" xfId="700" xr:uid="{00000000-0005-0000-0000-00006F030000}"/>
    <cellStyle name="MS Sans Serif 43 2" xfId="701" xr:uid="{00000000-0005-0000-0000-000070030000}"/>
    <cellStyle name="MS Sans Serif 44" xfId="702" xr:uid="{00000000-0005-0000-0000-000071030000}"/>
    <cellStyle name="MS Sans Serif 44 2" xfId="703" xr:uid="{00000000-0005-0000-0000-000072030000}"/>
    <cellStyle name="MS Sans Serif 45" xfId="704" xr:uid="{00000000-0005-0000-0000-000073030000}"/>
    <cellStyle name="MS Sans Serif 45 2" xfId="705" xr:uid="{00000000-0005-0000-0000-000074030000}"/>
    <cellStyle name="MS Sans Serif 46" xfId="706" xr:uid="{00000000-0005-0000-0000-000075030000}"/>
    <cellStyle name="MS Sans Serif 46 2" xfId="707" xr:uid="{00000000-0005-0000-0000-000076030000}"/>
    <cellStyle name="MS Sans Serif 47" xfId="708" xr:uid="{00000000-0005-0000-0000-000077030000}"/>
    <cellStyle name="MS Sans Serif 47 2" xfId="709" xr:uid="{00000000-0005-0000-0000-000078030000}"/>
    <cellStyle name="MS Sans Serif 48" xfId="710" xr:uid="{00000000-0005-0000-0000-000079030000}"/>
    <cellStyle name="MS Sans Serif 48 2" xfId="711" xr:uid="{00000000-0005-0000-0000-00007A030000}"/>
    <cellStyle name="MS Sans Serif 49" xfId="712" xr:uid="{00000000-0005-0000-0000-00007B030000}"/>
    <cellStyle name="MS Sans Serif 49 2" xfId="713" xr:uid="{00000000-0005-0000-0000-00007C030000}"/>
    <cellStyle name="MS Sans Serif 5" xfId="714" xr:uid="{00000000-0005-0000-0000-00007D030000}"/>
    <cellStyle name="MS Sans Serif 5 2" xfId="715" xr:uid="{00000000-0005-0000-0000-00007E030000}"/>
    <cellStyle name="MS Sans Serif 50" xfId="716" xr:uid="{00000000-0005-0000-0000-00007F030000}"/>
    <cellStyle name="MS Sans Serif 50 2" xfId="717" xr:uid="{00000000-0005-0000-0000-000080030000}"/>
    <cellStyle name="MS Sans Serif 51" xfId="718" xr:uid="{00000000-0005-0000-0000-000081030000}"/>
    <cellStyle name="MS Sans Serif 51 2" xfId="719" xr:uid="{00000000-0005-0000-0000-000082030000}"/>
    <cellStyle name="MS Sans Serif 52" xfId="720" xr:uid="{00000000-0005-0000-0000-000083030000}"/>
    <cellStyle name="MS Sans Serif 52 2" xfId="721" xr:uid="{00000000-0005-0000-0000-000084030000}"/>
    <cellStyle name="MS Sans Serif 53" xfId="722" xr:uid="{00000000-0005-0000-0000-000085030000}"/>
    <cellStyle name="MS Sans Serif 53 2" xfId="723" xr:uid="{00000000-0005-0000-0000-000086030000}"/>
    <cellStyle name="MS Sans Serif 54" xfId="724" xr:uid="{00000000-0005-0000-0000-000087030000}"/>
    <cellStyle name="MS Sans Serif 54 2" xfId="725" xr:uid="{00000000-0005-0000-0000-000088030000}"/>
    <cellStyle name="MS Sans Serif 55" xfId="726" xr:uid="{00000000-0005-0000-0000-000089030000}"/>
    <cellStyle name="MS Sans Serif 55 2" xfId="727" xr:uid="{00000000-0005-0000-0000-00008A030000}"/>
    <cellStyle name="MS Sans Serif 56" xfId="728" xr:uid="{00000000-0005-0000-0000-00008B030000}"/>
    <cellStyle name="MS Sans Serif 56 2" xfId="729" xr:uid="{00000000-0005-0000-0000-00008C030000}"/>
    <cellStyle name="MS Sans Serif 57" xfId="730" xr:uid="{00000000-0005-0000-0000-00008D030000}"/>
    <cellStyle name="MS Sans Serif 57 2" xfId="731" xr:uid="{00000000-0005-0000-0000-00008E030000}"/>
    <cellStyle name="MS Sans Serif 58" xfId="732" xr:uid="{00000000-0005-0000-0000-00008F030000}"/>
    <cellStyle name="MS Sans Serif 58 2" xfId="733" xr:uid="{00000000-0005-0000-0000-000090030000}"/>
    <cellStyle name="MS Sans Serif 59" xfId="734" xr:uid="{00000000-0005-0000-0000-000091030000}"/>
    <cellStyle name="MS Sans Serif 59 2" xfId="735" xr:uid="{00000000-0005-0000-0000-000092030000}"/>
    <cellStyle name="MS Sans Serif 6" xfId="736" xr:uid="{00000000-0005-0000-0000-000093030000}"/>
    <cellStyle name="MS Sans Serif 6 2" xfId="737" xr:uid="{00000000-0005-0000-0000-000094030000}"/>
    <cellStyle name="MS Sans Serif 60" xfId="738" xr:uid="{00000000-0005-0000-0000-000095030000}"/>
    <cellStyle name="MS Sans Serif 60 2" xfId="739" xr:uid="{00000000-0005-0000-0000-000096030000}"/>
    <cellStyle name="MS Sans Serif 61" xfId="740" xr:uid="{00000000-0005-0000-0000-000097030000}"/>
    <cellStyle name="MS Sans Serif 61 2" xfId="741" xr:uid="{00000000-0005-0000-0000-000098030000}"/>
    <cellStyle name="MS Sans Serif 62" xfId="742" xr:uid="{00000000-0005-0000-0000-000099030000}"/>
    <cellStyle name="MS Sans Serif 62 2" xfId="743" xr:uid="{00000000-0005-0000-0000-00009A030000}"/>
    <cellStyle name="MS Sans Serif 63" xfId="744" xr:uid="{00000000-0005-0000-0000-00009B030000}"/>
    <cellStyle name="MS Sans Serif 63 2" xfId="745" xr:uid="{00000000-0005-0000-0000-00009C030000}"/>
    <cellStyle name="MS Sans Serif 64" xfId="746" xr:uid="{00000000-0005-0000-0000-00009D030000}"/>
    <cellStyle name="MS Sans Serif 64 2" xfId="747" xr:uid="{00000000-0005-0000-0000-00009E030000}"/>
    <cellStyle name="MS Sans Serif 65" xfId="748" xr:uid="{00000000-0005-0000-0000-00009F030000}"/>
    <cellStyle name="MS Sans Serif 65 2" xfId="749" xr:uid="{00000000-0005-0000-0000-0000A0030000}"/>
    <cellStyle name="MS Sans Serif 66" xfId="750" xr:uid="{00000000-0005-0000-0000-0000A1030000}"/>
    <cellStyle name="MS Sans Serif 66 2" xfId="751" xr:uid="{00000000-0005-0000-0000-0000A2030000}"/>
    <cellStyle name="MS Sans Serif 67" xfId="752" xr:uid="{00000000-0005-0000-0000-0000A3030000}"/>
    <cellStyle name="MS Sans Serif 67 2" xfId="753" xr:uid="{00000000-0005-0000-0000-0000A4030000}"/>
    <cellStyle name="MS Sans Serif 68" xfId="754" xr:uid="{00000000-0005-0000-0000-0000A5030000}"/>
    <cellStyle name="MS Sans Serif 68 2" xfId="755" xr:uid="{00000000-0005-0000-0000-0000A6030000}"/>
    <cellStyle name="MS Sans Serif 69" xfId="756" xr:uid="{00000000-0005-0000-0000-0000A7030000}"/>
    <cellStyle name="MS Sans Serif 69 2" xfId="757" xr:uid="{00000000-0005-0000-0000-0000A8030000}"/>
    <cellStyle name="MS Sans Serif 7" xfId="758" xr:uid="{00000000-0005-0000-0000-0000A9030000}"/>
    <cellStyle name="MS Sans Serif 7 2" xfId="759" xr:uid="{00000000-0005-0000-0000-0000AA030000}"/>
    <cellStyle name="MS Sans Serif 70" xfId="760" xr:uid="{00000000-0005-0000-0000-0000AB030000}"/>
    <cellStyle name="MS Sans Serif 70 2" xfId="761" xr:uid="{00000000-0005-0000-0000-0000AC030000}"/>
    <cellStyle name="MS Sans Serif 71" xfId="762" xr:uid="{00000000-0005-0000-0000-0000AD030000}"/>
    <cellStyle name="MS Sans Serif 71 2" xfId="763" xr:uid="{00000000-0005-0000-0000-0000AE030000}"/>
    <cellStyle name="MS Sans Serif 72" xfId="764" xr:uid="{00000000-0005-0000-0000-0000AF030000}"/>
    <cellStyle name="MS Sans Serif 72 2" xfId="765" xr:uid="{00000000-0005-0000-0000-0000B0030000}"/>
    <cellStyle name="MS Sans Serif 73" xfId="766" xr:uid="{00000000-0005-0000-0000-0000B1030000}"/>
    <cellStyle name="MS Sans Serif 73 2" xfId="767" xr:uid="{00000000-0005-0000-0000-0000B2030000}"/>
    <cellStyle name="MS Sans Serif 74" xfId="768" xr:uid="{00000000-0005-0000-0000-0000B3030000}"/>
    <cellStyle name="MS Sans Serif 8" xfId="769" xr:uid="{00000000-0005-0000-0000-0000B4030000}"/>
    <cellStyle name="MS Sans Serif 8 2" xfId="770" xr:uid="{00000000-0005-0000-0000-0000B5030000}"/>
    <cellStyle name="MS Sans Serif 9" xfId="771" xr:uid="{00000000-0005-0000-0000-0000B6030000}"/>
    <cellStyle name="MS Sans Serif 9 2" xfId="772" xr:uid="{00000000-0005-0000-0000-0000B7030000}"/>
    <cellStyle name="MS Sans Serif_Server Accessory" xfId="773" xr:uid="{00000000-0005-0000-0000-0000B8030000}"/>
    <cellStyle name="Name" xfId="774" xr:uid="{00000000-0005-0000-0000-0000B9030000}"/>
    <cellStyle name="Name 2" xfId="1454" xr:uid="{00000000-0005-0000-0000-0000BA030000}"/>
    <cellStyle name="Neutraal" xfId="775" xr:uid="{00000000-0005-0000-0000-0000BB030000}"/>
    <cellStyle name="Neutral 2" xfId="776" xr:uid="{00000000-0005-0000-0000-0000BC030000}"/>
    <cellStyle name="Neutral 3" xfId="777" xr:uid="{00000000-0005-0000-0000-0000BD030000}"/>
    <cellStyle name="Normal" xfId="0" builtinId="0"/>
    <cellStyle name="Normal - Style1" xfId="778" xr:uid="{00000000-0005-0000-0000-0000BF030000}"/>
    <cellStyle name="Normal - Style1 2" xfId="1455" xr:uid="{00000000-0005-0000-0000-0000C0030000}"/>
    <cellStyle name="Normal 10" xfId="82" xr:uid="{00000000-0005-0000-0000-0000C1030000}"/>
    <cellStyle name="Normal 10 10" xfId="779" xr:uid="{00000000-0005-0000-0000-0000C2030000}"/>
    <cellStyle name="Normal 10 10 2" xfId="1456" xr:uid="{00000000-0005-0000-0000-0000C3030000}"/>
    <cellStyle name="Normal 10 2" xfId="15" xr:uid="{00000000-0005-0000-0000-0000C4030000}"/>
    <cellStyle name="Normal 10 2 2" xfId="1241" xr:uid="{00000000-0005-0000-0000-0000C5030000}"/>
    <cellStyle name="Normal 10 3" xfId="780" xr:uid="{00000000-0005-0000-0000-0000C6030000}"/>
    <cellStyle name="Normal 10 3 2" xfId="1457" xr:uid="{00000000-0005-0000-0000-0000C7030000}"/>
    <cellStyle name="Normal 10 4" xfId="781" xr:uid="{00000000-0005-0000-0000-0000C8030000}"/>
    <cellStyle name="Normal 10 4 2" xfId="1458" xr:uid="{00000000-0005-0000-0000-0000C9030000}"/>
    <cellStyle name="Normal 10 5" xfId="782" xr:uid="{00000000-0005-0000-0000-0000CA030000}"/>
    <cellStyle name="Normal 10 5 2" xfId="1459" xr:uid="{00000000-0005-0000-0000-0000CB030000}"/>
    <cellStyle name="Normal 10 6" xfId="1289" xr:uid="{00000000-0005-0000-0000-0000CC030000}"/>
    <cellStyle name="Normal 11" xfId="41" xr:uid="{00000000-0005-0000-0000-0000CD030000}"/>
    <cellStyle name="Normal 11 2" xfId="1259" xr:uid="{00000000-0005-0000-0000-0000CE030000}"/>
    <cellStyle name="Normal 114" xfId="783" xr:uid="{00000000-0005-0000-0000-0000CF030000}"/>
    <cellStyle name="Normal 114 2" xfId="1460" xr:uid="{00000000-0005-0000-0000-0000D0030000}"/>
    <cellStyle name="Normal 12" xfId="1" xr:uid="{00000000-0005-0000-0000-0000D1030000}"/>
    <cellStyle name="Normal 12 2" xfId="21" xr:uid="{00000000-0005-0000-0000-0000D2030000}"/>
    <cellStyle name="Normal 12 2 2" xfId="1246" xr:uid="{00000000-0005-0000-0000-0000D3030000}"/>
    <cellStyle name="Normal 13" xfId="784" xr:uid="{00000000-0005-0000-0000-0000D4030000}"/>
    <cellStyle name="Normal 13 2" xfId="785" xr:uid="{00000000-0005-0000-0000-0000D5030000}"/>
    <cellStyle name="Normal 13 2 2" xfId="1462" xr:uid="{00000000-0005-0000-0000-0000D6030000}"/>
    <cellStyle name="Normal 13 3" xfId="1461" xr:uid="{00000000-0005-0000-0000-0000D7030000}"/>
    <cellStyle name="Normal 13 4" xfId="1540" xr:uid="{00000000-0005-0000-0000-0000D8030000}"/>
    <cellStyle name="Normal 14" xfId="786" xr:uid="{00000000-0005-0000-0000-0000D9030000}"/>
    <cellStyle name="Normal 14 2" xfId="1463" xr:uid="{00000000-0005-0000-0000-0000DA030000}"/>
    <cellStyle name="Normal 14 3" xfId="1541" xr:uid="{00000000-0005-0000-0000-0000DB030000}"/>
    <cellStyle name="Normal 15" xfId="787" xr:uid="{00000000-0005-0000-0000-0000DC030000}"/>
    <cellStyle name="Normal 15 2" xfId="1464" xr:uid="{00000000-0005-0000-0000-0000DD030000}"/>
    <cellStyle name="Normal 15 3" xfId="1542" xr:uid="{00000000-0005-0000-0000-0000DE030000}"/>
    <cellStyle name="Normal 16" xfId="788" xr:uid="{00000000-0005-0000-0000-0000DF030000}"/>
    <cellStyle name="Normal 16 2" xfId="1465" xr:uid="{00000000-0005-0000-0000-0000E0030000}"/>
    <cellStyle name="Normal 16 3" xfId="1543" xr:uid="{00000000-0005-0000-0000-0000E1030000}"/>
    <cellStyle name="Normal 16 4" xfId="1554" xr:uid="{00000000-0005-0000-0000-0000E2030000}"/>
    <cellStyle name="Normal 17" xfId="789" xr:uid="{00000000-0005-0000-0000-0000E3030000}"/>
    <cellStyle name="Normal 17 2" xfId="1466" xr:uid="{00000000-0005-0000-0000-0000E4030000}"/>
    <cellStyle name="Normal 17 3" xfId="1544" xr:uid="{00000000-0005-0000-0000-0000E5030000}"/>
    <cellStyle name="Normal 18" xfId="790" xr:uid="{00000000-0005-0000-0000-0000E6030000}"/>
    <cellStyle name="Normal 18 2" xfId="1467" xr:uid="{00000000-0005-0000-0000-0000E7030000}"/>
    <cellStyle name="Normal 19" xfId="791" xr:uid="{00000000-0005-0000-0000-0000E8030000}"/>
    <cellStyle name="Normal 19 2" xfId="1468" xr:uid="{00000000-0005-0000-0000-0000E9030000}"/>
    <cellStyle name="Normal 2" xfId="11" xr:uid="{00000000-0005-0000-0000-0000EA030000}"/>
    <cellStyle name="Normal 2 2" xfId="14" xr:uid="{00000000-0005-0000-0000-0000EB030000}"/>
    <cellStyle name="Normal 2 2 2" xfId="83" xr:uid="{00000000-0005-0000-0000-0000EC030000}"/>
    <cellStyle name="Normal 2 2 2 2" xfId="84" xr:uid="{00000000-0005-0000-0000-0000ED030000}"/>
    <cellStyle name="Normal 2 2 2 2 2" xfId="792" xr:uid="{00000000-0005-0000-0000-0000EE030000}"/>
    <cellStyle name="Normal 2 2 2 2 2 2" xfId="1469" xr:uid="{00000000-0005-0000-0000-0000EF030000}"/>
    <cellStyle name="Normal 2 2 2 2 3" xfId="793" xr:uid="{00000000-0005-0000-0000-0000F0030000}"/>
    <cellStyle name="Normal 2 2 2 2 3 2" xfId="1470" xr:uid="{00000000-0005-0000-0000-0000F1030000}"/>
    <cellStyle name="Normal 2 2 2 2 4" xfId="794" xr:uid="{00000000-0005-0000-0000-0000F2030000}"/>
    <cellStyle name="Normal 2 2 2 2 4 2" xfId="1471" xr:uid="{00000000-0005-0000-0000-0000F3030000}"/>
    <cellStyle name="Normal 2 2 2 2 5" xfId="795" xr:uid="{00000000-0005-0000-0000-0000F4030000}"/>
    <cellStyle name="Normal 2 2 2 2 5 2" xfId="1472" xr:uid="{00000000-0005-0000-0000-0000F5030000}"/>
    <cellStyle name="Normal 2 2 2 2 6" xfId="1291" xr:uid="{00000000-0005-0000-0000-0000F6030000}"/>
    <cellStyle name="Normal 2 2 2 3" xfId="796" xr:uid="{00000000-0005-0000-0000-0000F7030000}"/>
    <cellStyle name="Normal 2 2 2 3 2" xfId="1473" xr:uid="{00000000-0005-0000-0000-0000F8030000}"/>
    <cellStyle name="Normal 2 2 2 4" xfId="797" xr:uid="{00000000-0005-0000-0000-0000F9030000}"/>
    <cellStyle name="Normal 2 2 2 4 2" xfId="1474" xr:uid="{00000000-0005-0000-0000-0000FA030000}"/>
    <cellStyle name="Normal 2 2 2 5" xfId="798" xr:uid="{00000000-0005-0000-0000-0000FB030000}"/>
    <cellStyle name="Normal 2 2 2 5 2" xfId="1475" xr:uid="{00000000-0005-0000-0000-0000FC030000}"/>
    <cellStyle name="Normal 2 2 2 6" xfId="799" xr:uid="{00000000-0005-0000-0000-0000FD030000}"/>
    <cellStyle name="Normal 2 2 2 6 2" xfId="1476" xr:uid="{00000000-0005-0000-0000-0000FE030000}"/>
    <cellStyle name="Normal 2 2 2 7" xfId="1290" xr:uid="{00000000-0005-0000-0000-0000FF030000}"/>
    <cellStyle name="Normal 2 2 3" xfId="800" xr:uid="{00000000-0005-0000-0000-000000040000}"/>
    <cellStyle name="Normal 2 2 3 2" xfId="1477" xr:uid="{00000000-0005-0000-0000-000001040000}"/>
    <cellStyle name="Normal 2 2 4" xfId="801" xr:uid="{00000000-0005-0000-0000-000002040000}"/>
    <cellStyle name="Normal 2 2 4 2" xfId="1478" xr:uid="{00000000-0005-0000-0000-000003040000}"/>
    <cellStyle name="Normal 2 2 5" xfId="802" xr:uid="{00000000-0005-0000-0000-000004040000}"/>
    <cellStyle name="Normal 2 2 5 2" xfId="1479" xr:uid="{00000000-0005-0000-0000-000005040000}"/>
    <cellStyle name="Normal 2 2 6" xfId="803" xr:uid="{00000000-0005-0000-0000-000006040000}"/>
    <cellStyle name="Normal 2 2 6 2" xfId="1480" xr:uid="{00000000-0005-0000-0000-000007040000}"/>
    <cellStyle name="Normal 2 2 7" xfId="1240" xr:uid="{00000000-0005-0000-0000-000008040000}"/>
    <cellStyle name="Normal 2 3" xfId="85" xr:uid="{00000000-0005-0000-0000-000009040000}"/>
    <cellStyle name="Normal 2 3 2" xfId="804" xr:uid="{00000000-0005-0000-0000-00000A040000}"/>
    <cellStyle name="Normal 2 3 2 2" xfId="1481" xr:uid="{00000000-0005-0000-0000-00000B040000}"/>
    <cellStyle name="Normal 2 3 3" xfId="805" xr:uid="{00000000-0005-0000-0000-00000C040000}"/>
    <cellStyle name="Normal 2 4" xfId="806" xr:uid="{00000000-0005-0000-0000-00000D040000}"/>
    <cellStyle name="Normal 2 4 2" xfId="1482" xr:uid="{00000000-0005-0000-0000-00000E040000}"/>
    <cellStyle name="Normal 2 5" xfId="807" xr:uid="{00000000-0005-0000-0000-00000F040000}"/>
    <cellStyle name="Normal 2 5 2" xfId="1483" xr:uid="{00000000-0005-0000-0000-000010040000}"/>
    <cellStyle name="Normal 2 6" xfId="808" xr:uid="{00000000-0005-0000-0000-000011040000}"/>
    <cellStyle name="Normal 2 6 2" xfId="1484" xr:uid="{00000000-0005-0000-0000-000012040000}"/>
    <cellStyle name="Normal 2 7" xfId="809" xr:uid="{00000000-0005-0000-0000-000013040000}"/>
    <cellStyle name="Normal 2 7 2" xfId="1485" xr:uid="{00000000-0005-0000-0000-000014040000}"/>
    <cellStyle name="Normal 2 8" xfId="810" xr:uid="{00000000-0005-0000-0000-000015040000}"/>
    <cellStyle name="Normal 2 9" xfId="1229" xr:uid="{00000000-0005-0000-0000-000016040000}"/>
    <cellStyle name="Normal 20" xfId="17" xr:uid="{00000000-0005-0000-0000-000017040000}"/>
    <cellStyle name="Normal 20 2" xfId="1243" xr:uid="{00000000-0005-0000-0000-000018040000}"/>
    <cellStyle name="Normal 21" xfId="811" xr:uid="{00000000-0005-0000-0000-000019040000}"/>
    <cellStyle name="Normal 21 2" xfId="1486" xr:uid="{00000000-0005-0000-0000-00001A040000}"/>
    <cellStyle name="Normal 21 3" xfId="1545" xr:uid="{00000000-0005-0000-0000-00001B040000}"/>
    <cellStyle name="Normal 22" xfId="812" xr:uid="{00000000-0005-0000-0000-00001C040000}"/>
    <cellStyle name="Normal 22 2" xfId="1487" xr:uid="{00000000-0005-0000-0000-00001D040000}"/>
    <cellStyle name="Normal 22 3" xfId="1546" xr:uid="{00000000-0005-0000-0000-00001E040000}"/>
    <cellStyle name="Normal 23" xfId="813" xr:uid="{00000000-0005-0000-0000-00001F040000}"/>
    <cellStyle name="Normal 23 2" xfId="1488" xr:uid="{00000000-0005-0000-0000-000020040000}"/>
    <cellStyle name="Normal 23 3" xfId="1547" xr:uid="{00000000-0005-0000-0000-000021040000}"/>
    <cellStyle name="Normal 24" xfId="983" xr:uid="{00000000-0005-0000-0000-000022040000}"/>
    <cellStyle name="Normal 25" xfId="1222" xr:uid="{00000000-0005-0000-0000-000023040000}"/>
    <cellStyle name="Normal 26" xfId="1223" xr:uid="{00000000-0005-0000-0000-000024040000}"/>
    <cellStyle name="Normal 27" xfId="1224" xr:uid="{00000000-0005-0000-0000-000025040000}"/>
    <cellStyle name="Normal 28" xfId="1225" xr:uid="{00000000-0005-0000-0000-000026040000}"/>
    <cellStyle name="Normal 29" xfId="1230" xr:uid="{00000000-0005-0000-0000-000027040000}"/>
    <cellStyle name="Normal 3" xfId="38" xr:uid="{00000000-0005-0000-0000-000028040000}"/>
    <cellStyle name="Normal 3 2" xfId="87" xr:uid="{00000000-0005-0000-0000-000029040000}"/>
    <cellStyle name="Normal 3 3" xfId="86" xr:uid="{00000000-0005-0000-0000-00002A040000}"/>
    <cellStyle name="Normal 3 3 2" xfId="1292" xr:uid="{00000000-0005-0000-0000-00002B040000}"/>
    <cellStyle name="Normal 3 4" xfId="814" xr:uid="{00000000-0005-0000-0000-00002C040000}"/>
    <cellStyle name="Normal 3 4 2" xfId="1489" xr:uid="{00000000-0005-0000-0000-00002D040000}"/>
    <cellStyle name="Normal 3 5" xfId="815" xr:uid="{00000000-0005-0000-0000-00002E040000}"/>
    <cellStyle name="Normal 3 5 2" xfId="1490" xr:uid="{00000000-0005-0000-0000-00002F040000}"/>
    <cellStyle name="Normal 3 6" xfId="816" xr:uid="{00000000-0005-0000-0000-000030040000}"/>
    <cellStyle name="Normal 3 6 2" xfId="1491" xr:uid="{00000000-0005-0000-0000-000031040000}"/>
    <cellStyle name="Normal 3 7" xfId="817" xr:uid="{00000000-0005-0000-0000-000032040000}"/>
    <cellStyle name="Normal 3 7 2" xfId="1492" xr:uid="{00000000-0005-0000-0000-000033040000}"/>
    <cellStyle name="Normal 3 8" xfId="1258" xr:uid="{00000000-0005-0000-0000-000034040000}"/>
    <cellStyle name="Normal 3 9" xfId="1531" xr:uid="{00000000-0005-0000-0000-000035040000}"/>
    <cellStyle name="Normal 30" xfId="1553" xr:uid="{00000000-0005-0000-0000-000036040000}"/>
    <cellStyle name="Normal 4" xfId="88" xr:uid="{00000000-0005-0000-0000-000037040000}"/>
    <cellStyle name="Normal 4 2" xfId="89" xr:uid="{00000000-0005-0000-0000-000038040000}"/>
    <cellStyle name="Normal 4 2 2" xfId="818" xr:uid="{00000000-0005-0000-0000-000039040000}"/>
    <cellStyle name="Normal 4 2 2 2" xfId="1493" xr:uid="{00000000-0005-0000-0000-00003A040000}"/>
    <cellStyle name="Normal 4 2 3" xfId="819" xr:uid="{00000000-0005-0000-0000-00003B040000}"/>
    <cellStyle name="Normal 4 2 3 2" xfId="1494" xr:uid="{00000000-0005-0000-0000-00003C040000}"/>
    <cellStyle name="Normal 4 2 4" xfId="820" xr:uid="{00000000-0005-0000-0000-00003D040000}"/>
    <cellStyle name="Normal 4 2 4 2" xfId="1495" xr:uid="{00000000-0005-0000-0000-00003E040000}"/>
    <cellStyle name="Normal 4 2 5" xfId="821" xr:uid="{00000000-0005-0000-0000-00003F040000}"/>
    <cellStyle name="Normal 4 2 5 2" xfId="1496" xr:uid="{00000000-0005-0000-0000-000040040000}"/>
    <cellStyle name="Normal 4 2 6" xfId="1294" xr:uid="{00000000-0005-0000-0000-000041040000}"/>
    <cellStyle name="Normal 4 3" xfId="822" xr:uid="{00000000-0005-0000-0000-000042040000}"/>
    <cellStyle name="Normal 4 3 2" xfId="1497" xr:uid="{00000000-0005-0000-0000-000043040000}"/>
    <cellStyle name="Normal 4 3 3" xfId="1548" xr:uid="{00000000-0005-0000-0000-000044040000}"/>
    <cellStyle name="Normal 4 4" xfId="823" xr:uid="{00000000-0005-0000-0000-000045040000}"/>
    <cellStyle name="Normal 4 5" xfId="824" xr:uid="{00000000-0005-0000-0000-000046040000}"/>
    <cellStyle name="Normal 4 6" xfId="1293" xr:uid="{00000000-0005-0000-0000-000047040000}"/>
    <cellStyle name="Normal 4 7" xfId="1537" xr:uid="{00000000-0005-0000-0000-000048040000}"/>
    <cellStyle name="Normal 5" xfId="90" xr:uid="{00000000-0005-0000-0000-000049040000}"/>
    <cellStyle name="Normal 5 2" xfId="825" xr:uid="{00000000-0005-0000-0000-00004A040000}"/>
    <cellStyle name="Normal 5 2 2" xfId="1498" xr:uid="{00000000-0005-0000-0000-00004B040000}"/>
    <cellStyle name="Normal 5 2 3" xfId="1549" xr:uid="{00000000-0005-0000-0000-00004C040000}"/>
    <cellStyle name="Normal 5 3" xfId="826" xr:uid="{00000000-0005-0000-0000-00004D040000}"/>
    <cellStyle name="Normal 5 4" xfId="827" xr:uid="{00000000-0005-0000-0000-00004E040000}"/>
    <cellStyle name="Normal 5 4 2" xfId="1499" xr:uid="{00000000-0005-0000-0000-00004F040000}"/>
    <cellStyle name="Normal 5 5" xfId="828" xr:uid="{00000000-0005-0000-0000-000050040000}"/>
    <cellStyle name="Normal 5 6" xfId="1295" xr:uid="{00000000-0005-0000-0000-000051040000}"/>
    <cellStyle name="Normal 5 7" xfId="1538" xr:uid="{00000000-0005-0000-0000-000052040000}"/>
    <cellStyle name="Normal 6" xfId="91" xr:uid="{00000000-0005-0000-0000-000053040000}"/>
    <cellStyle name="Normal 6 2" xfId="829" xr:uid="{00000000-0005-0000-0000-000054040000}"/>
    <cellStyle name="Normal 6 2 2" xfId="1500" xr:uid="{00000000-0005-0000-0000-000055040000}"/>
    <cellStyle name="Normal 7" xfId="92" xr:uid="{00000000-0005-0000-0000-000056040000}"/>
    <cellStyle name="Normal 7 2" xfId="830" xr:uid="{00000000-0005-0000-0000-000057040000}"/>
    <cellStyle name="Normal 7 2 2" xfId="1501" xr:uid="{00000000-0005-0000-0000-000058040000}"/>
    <cellStyle name="Normal 7 2 6" xfId="831" xr:uid="{00000000-0005-0000-0000-000059040000}"/>
    <cellStyle name="Normal 7 2 6 2" xfId="1502" xr:uid="{00000000-0005-0000-0000-00005A040000}"/>
    <cellStyle name="Normal 7 3" xfId="832" xr:uid="{00000000-0005-0000-0000-00005B040000}"/>
    <cellStyle name="Normal 7 3 2" xfId="1503" xr:uid="{00000000-0005-0000-0000-00005C040000}"/>
    <cellStyle name="Normal 7 4" xfId="833" xr:uid="{00000000-0005-0000-0000-00005D040000}"/>
    <cellStyle name="Normal 7 4 2" xfId="1504" xr:uid="{00000000-0005-0000-0000-00005E040000}"/>
    <cellStyle name="Normal 7 5" xfId="834" xr:uid="{00000000-0005-0000-0000-00005F040000}"/>
    <cellStyle name="Normal 7 5 2" xfId="1505" xr:uid="{00000000-0005-0000-0000-000060040000}"/>
    <cellStyle name="Normal 7 6" xfId="1296" xr:uid="{00000000-0005-0000-0000-000061040000}"/>
    <cellStyle name="Normal 8" xfId="12" xr:uid="{00000000-0005-0000-0000-000062040000}"/>
    <cellStyle name="Normal 8 2" xfId="34" xr:uid="{00000000-0005-0000-0000-000063040000}"/>
    <cellStyle name="Normal 8 2 2" xfId="835" xr:uid="{00000000-0005-0000-0000-000064040000}"/>
    <cellStyle name="Normal 8 2 2 2" xfId="1506" xr:uid="{00000000-0005-0000-0000-000065040000}"/>
    <cellStyle name="Normal 8 2 3" xfId="1254" xr:uid="{00000000-0005-0000-0000-000066040000}"/>
    <cellStyle name="Normal 8 2 4" xfId="1530" xr:uid="{00000000-0005-0000-0000-000067040000}"/>
    <cellStyle name="Normal 8 3" xfId="18" xr:uid="{00000000-0005-0000-0000-000068040000}"/>
    <cellStyle name="Normal 8 3 2" xfId="1227" xr:uid="{00000000-0005-0000-0000-000069040000}"/>
    <cellStyle name="Normal 8 3 2 2" xfId="1526" xr:uid="{00000000-0005-0000-0000-00006A040000}"/>
    <cellStyle name="Normal 8 3 2 3" xfId="1552" xr:uid="{00000000-0005-0000-0000-00006B040000}"/>
    <cellStyle name="Normal 8 3 3" xfId="1244" xr:uid="{00000000-0005-0000-0000-00006C040000}"/>
    <cellStyle name="Normal 8 3 4" xfId="1529" xr:uid="{00000000-0005-0000-0000-00006D040000}"/>
    <cellStyle name="Normal 8 4" xfId="16" xr:uid="{00000000-0005-0000-0000-00006E040000}"/>
    <cellStyle name="Normal 8 4 2" xfId="1242" xr:uid="{00000000-0005-0000-0000-00006F040000}"/>
    <cellStyle name="Normal 8 4 3" xfId="1528" xr:uid="{00000000-0005-0000-0000-000070040000}"/>
    <cellStyle name="Normal 8 5" xfId="1226" xr:uid="{00000000-0005-0000-0000-000071040000}"/>
    <cellStyle name="Normal 8 5 2" xfId="1525" xr:uid="{00000000-0005-0000-0000-000072040000}"/>
    <cellStyle name="Normal 8 5 3" xfId="1551" xr:uid="{00000000-0005-0000-0000-000073040000}"/>
    <cellStyle name="Normal 8 6" xfId="1238" xr:uid="{00000000-0005-0000-0000-000074040000}"/>
    <cellStyle name="Normal 8 7" xfId="1527" xr:uid="{00000000-0005-0000-0000-000075040000}"/>
    <cellStyle name="Normal 9" xfId="93" xr:uid="{00000000-0005-0000-0000-000076040000}"/>
    <cellStyle name="Normal_DUTOAN1" xfId="1557" xr:uid="{6D6CEAB9-383E-42D9-A9A8-ACF296726D15}"/>
    <cellStyle name="Note 2" xfId="836" xr:uid="{00000000-0005-0000-0000-000077040000}"/>
    <cellStyle name="Note 3" xfId="837" xr:uid="{00000000-0005-0000-0000-000078040000}"/>
    <cellStyle name="Note 4" xfId="838" xr:uid="{00000000-0005-0000-0000-000079040000}"/>
    <cellStyle name="Notitie" xfId="839" xr:uid="{00000000-0005-0000-0000-00007A040000}"/>
    <cellStyle name="Ongeldig" xfId="840" xr:uid="{00000000-0005-0000-0000-00007B040000}"/>
    <cellStyle name="Output 2" xfId="841" xr:uid="{00000000-0005-0000-0000-00007C040000}"/>
    <cellStyle name="Output 3" xfId="842" xr:uid="{00000000-0005-0000-0000-00007D040000}"/>
    <cellStyle name="Percent [2]" xfId="843" xr:uid="{00000000-0005-0000-0000-00007E040000}"/>
    <cellStyle name="Percent [2] 2" xfId="1507" xr:uid="{00000000-0005-0000-0000-00007F040000}"/>
    <cellStyle name="Percent 2" xfId="94" xr:uid="{00000000-0005-0000-0000-000080040000}"/>
    <cellStyle name="Percent 2 2" xfId="844" xr:uid="{00000000-0005-0000-0000-000081040000}"/>
    <cellStyle name="Percent 2 2 2" xfId="1508" xr:uid="{00000000-0005-0000-0000-000082040000}"/>
    <cellStyle name="Percent 2 3" xfId="845" xr:uid="{00000000-0005-0000-0000-000083040000}"/>
    <cellStyle name="Percent 2 3 2" xfId="1509" xr:uid="{00000000-0005-0000-0000-000084040000}"/>
    <cellStyle name="Percent 2 4" xfId="846" xr:uid="{00000000-0005-0000-0000-000085040000}"/>
    <cellStyle name="Percent 2 4 2" xfId="1510" xr:uid="{00000000-0005-0000-0000-000086040000}"/>
    <cellStyle name="Percent 2 5" xfId="847" xr:uid="{00000000-0005-0000-0000-000087040000}"/>
    <cellStyle name="Percent 2 5 2" xfId="1511" xr:uid="{00000000-0005-0000-0000-000088040000}"/>
    <cellStyle name="Percent 2 6" xfId="848" xr:uid="{00000000-0005-0000-0000-000089040000}"/>
    <cellStyle name="Percent 2 7" xfId="849" xr:uid="{00000000-0005-0000-0000-00008A040000}"/>
    <cellStyle name="Percent 2 8" xfId="1297" xr:uid="{00000000-0005-0000-0000-00008B040000}"/>
    <cellStyle name="Percent 3" xfId="850" xr:uid="{00000000-0005-0000-0000-00008C040000}"/>
    <cellStyle name="Percent 3 2" xfId="851" xr:uid="{00000000-0005-0000-0000-00008D040000}"/>
    <cellStyle name="Percent 3 2 2" xfId="1513" xr:uid="{00000000-0005-0000-0000-00008E040000}"/>
    <cellStyle name="Percent 3 3" xfId="1512" xr:uid="{00000000-0005-0000-0000-00008F040000}"/>
    <cellStyle name="Standaard 2" xfId="852" xr:uid="{00000000-0005-0000-0000-000090040000}"/>
    <cellStyle name="Stijl 1" xfId="853" xr:uid="{00000000-0005-0000-0000-000091040000}"/>
    <cellStyle name="Style 1" xfId="95" xr:uid="{00000000-0005-0000-0000-000092040000}"/>
    <cellStyle name="Style 1 2" xfId="854" xr:uid="{00000000-0005-0000-0000-000093040000}"/>
    <cellStyle name="Style 27" xfId="96" xr:uid="{00000000-0005-0000-0000-000094040000}"/>
    <cellStyle name="Style 40" xfId="97" xr:uid="{00000000-0005-0000-0000-000095040000}"/>
    <cellStyle name="Titel" xfId="855" xr:uid="{00000000-0005-0000-0000-000096040000}"/>
    <cellStyle name="Title 2" xfId="856" xr:uid="{00000000-0005-0000-0000-000097040000}"/>
    <cellStyle name="Title 3" xfId="857" xr:uid="{00000000-0005-0000-0000-000098040000}"/>
    <cellStyle name="Totaal" xfId="858" xr:uid="{00000000-0005-0000-0000-000099040000}"/>
    <cellStyle name="Total 2" xfId="859" xr:uid="{00000000-0005-0000-0000-00009A040000}"/>
    <cellStyle name="Total 3" xfId="860" xr:uid="{00000000-0005-0000-0000-00009B040000}"/>
    <cellStyle name="Uitvoer" xfId="861" xr:uid="{00000000-0005-0000-0000-00009C040000}"/>
    <cellStyle name="Verklarende tekst" xfId="862" xr:uid="{00000000-0005-0000-0000-00009D040000}"/>
    <cellStyle name="Waarschuwingstekst" xfId="863" xr:uid="{00000000-0005-0000-0000-00009E040000}"/>
    <cellStyle name="Warning Text 2" xfId="864" xr:uid="{00000000-0005-0000-0000-00009F040000}"/>
    <cellStyle name="Warning Text 3" xfId="865" xr:uid="{00000000-0005-0000-0000-0000A0040000}"/>
    <cellStyle name="똿뗦먛귟 [0.00]_PRODUCT DETAIL Q1" xfId="866" xr:uid="{00000000-0005-0000-0000-0000A1040000}"/>
    <cellStyle name="똿뗦먛귟_PRODUCT DETAIL Q1" xfId="867" xr:uid="{00000000-0005-0000-0000-0000A2040000}"/>
    <cellStyle name="믅됞 [0.00]_PRODUCT DETAIL Q1" xfId="868" xr:uid="{00000000-0005-0000-0000-0000A3040000}"/>
    <cellStyle name="믅됞_PRODUCT DETAIL Q1" xfId="869" xr:uid="{00000000-0005-0000-0000-0000A4040000}"/>
    <cellStyle name="백분율_95" xfId="870" xr:uid="{00000000-0005-0000-0000-0000A5040000}"/>
    <cellStyle name="뷭?_BOOKSHIP" xfId="871" xr:uid="{00000000-0005-0000-0000-0000A6040000}"/>
    <cellStyle name="콤마 [0]_1202" xfId="872" xr:uid="{00000000-0005-0000-0000-0000A7040000}"/>
    <cellStyle name="콤마_1202" xfId="873" xr:uid="{00000000-0005-0000-0000-0000A8040000}"/>
    <cellStyle name="통화 [0]_1202" xfId="874" xr:uid="{00000000-0005-0000-0000-0000A9040000}"/>
    <cellStyle name="통화_1202" xfId="875" xr:uid="{00000000-0005-0000-0000-0000AA040000}"/>
    <cellStyle name="표준_(정보부문)월별인원계획" xfId="876" xr:uid="{00000000-0005-0000-0000-0000AB040000}"/>
    <cellStyle name="一般 2" xfId="98" xr:uid="{00000000-0005-0000-0000-0000AC040000}"/>
    <cellStyle name="一般 2 2" xfId="877" xr:uid="{00000000-0005-0000-0000-0000AD040000}"/>
    <cellStyle name="一般 2 2 2" xfId="878" xr:uid="{00000000-0005-0000-0000-0000AE040000}"/>
    <cellStyle name="一般 2 2 3" xfId="1514" xr:uid="{00000000-0005-0000-0000-0000AF040000}"/>
    <cellStyle name="一般 2 2 4" xfId="1550" xr:uid="{00000000-0005-0000-0000-0000B0040000}"/>
    <cellStyle name="一般 2 3" xfId="879" xr:uid="{00000000-0005-0000-0000-0000B1040000}"/>
    <cellStyle name="一般 2 3 2" xfId="1515" xr:uid="{00000000-0005-0000-0000-0000B2040000}"/>
    <cellStyle name="一般 2 4" xfId="880" xr:uid="{00000000-0005-0000-0000-0000B3040000}"/>
    <cellStyle name="一般 2 4 2" xfId="1516" xr:uid="{00000000-0005-0000-0000-0000B4040000}"/>
    <cellStyle name="一般 2 5" xfId="1298" xr:uid="{00000000-0005-0000-0000-0000B5040000}"/>
    <cellStyle name="一般 2 6" xfId="1539" xr:uid="{00000000-0005-0000-0000-0000B6040000}"/>
    <cellStyle name="一般 2_AMD MB 2011 APR Price List _PSD1" xfId="881" xr:uid="{00000000-0005-0000-0000-0000B7040000}"/>
    <cellStyle name="一般 3" xfId="882" xr:uid="{00000000-0005-0000-0000-0000B8040000}"/>
    <cellStyle name="一般 4" xfId="883" xr:uid="{00000000-0005-0000-0000-0000B9040000}"/>
    <cellStyle name="一般 4 2" xfId="884" xr:uid="{00000000-0005-0000-0000-0000BA040000}"/>
    <cellStyle name="一般 4 3" xfId="885" xr:uid="{00000000-0005-0000-0000-0000BB040000}"/>
    <cellStyle name="一般 4 3 2" xfId="1518" xr:uid="{00000000-0005-0000-0000-0000BC040000}"/>
    <cellStyle name="一般 4 4" xfId="1517" xr:uid="{00000000-0005-0000-0000-0000BD040000}"/>
    <cellStyle name="一般 4_AMD MB 2011 APR Price List _PSD1" xfId="886" xr:uid="{00000000-0005-0000-0000-0000BE040000}"/>
    <cellStyle name="一般 5" xfId="887" xr:uid="{00000000-0005-0000-0000-0000BF040000}"/>
    <cellStyle name="一般_Book1" xfId="99" xr:uid="{00000000-0005-0000-0000-0000C0040000}"/>
    <cellStyle name="中等" xfId="888" xr:uid="{00000000-0005-0000-0000-0000C1040000}"/>
    <cellStyle name="中等 10" xfId="889" xr:uid="{00000000-0005-0000-0000-0000C2040000}"/>
    <cellStyle name="中等 11" xfId="890" xr:uid="{00000000-0005-0000-0000-0000C3040000}"/>
    <cellStyle name="中等 2" xfId="891" xr:uid="{00000000-0005-0000-0000-0000C4040000}"/>
    <cellStyle name="中等 2 2" xfId="892" xr:uid="{00000000-0005-0000-0000-0000C5040000}"/>
    <cellStyle name="中等 3" xfId="893" xr:uid="{00000000-0005-0000-0000-0000C6040000}"/>
    <cellStyle name="中等 4" xfId="894" xr:uid="{00000000-0005-0000-0000-0000C7040000}"/>
    <cellStyle name="中等 5" xfId="895" xr:uid="{00000000-0005-0000-0000-0000C8040000}"/>
    <cellStyle name="中等 6" xfId="896" xr:uid="{00000000-0005-0000-0000-0000C9040000}"/>
    <cellStyle name="中等 7" xfId="897" xr:uid="{00000000-0005-0000-0000-0000CA040000}"/>
    <cellStyle name="中等 8" xfId="898" xr:uid="{00000000-0005-0000-0000-0000CB040000}"/>
    <cellStyle name="中等 9" xfId="899" xr:uid="{00000000-0005-0000-0000-0000CC040000}"/>
    <cellStyle name="中等_AMD MB 2011 APR Price List _PSD1" xfId="900" xr:uid="{00000000-0005-0000-0000-0000CD040000}"/>
    <cellStyle name="備註" xfId="901" xr:uid="{00000000-0005-0000-0000-0000CE040000}"/>
    <cellStyle name="備註 10" xfId="902" xr:uid="{00000000-0005-0000-0000-0000CF040000}"/>
    <cellStyle name="備註 11" xfId="903" xr:uid="{00000000-0005-0000-0000-0000D0040000}"/>
    <cellStyle name="備註 12" xfId="904" xr:uid="{00000000-0005-0000-0000-0000D1040000}"/>
    <cellStyle name="備註 12 2" xfId="1520" xr:uid="{00000000-0005-0000-0000-0000D2040000}"/>
    <cellStyle name="備註 13" xfId="1519" xr:uid="{00000000-0005-0000-0000-0000D3040000}"/>
    <cellStyle name="備註 2" xfId="905" xr:uid="{00000000-0005-0000-0000-0000D4040000}"/>
    <cellStyle name="備註 2 2" xfId="906" xr:uid="{00000000-0005-0000-0000-0000D5040000}"/>
    <cellStyle name="備註 2 3" xfId="907" xr:uid="{00000000-0005-0000-0000-0000D6040000}"/>
    <cellStyle name="備註 2 4" xfId="908" xr:uid="{00000000-0005-0000-0000-0000D7040000}"/>
    <cellStyle name="備註 2 4 2" xfId="1522" xr:uid="{00000000-0005-0000-0000-0000D8040000}"/>
    <cellStyle name="備註 2 5" xfId="1521" xr:uid="{00000000-0005-0000-0000-0000D9040000}"/>
    <cellStyle name="備註 2_Bang gia MB ASUS Public - May 31" xfId="909" xr:uid="{00000000-0005-0000-0000-0000DA040000}"/>
    <cellStyle name="備註 3" xfId="910" xr:uid="{00000000-0005-0000-0000-0000DB040000}"/>
    <cellStyle name="備註 4" xfId="911" xr:uid="{00000000-0005-0000-0000-0000DC040000}"/>
    <cellStyle name="備註 5" xfId="912" xr:uid="{00000000-0005-0000-0000-0000DD040000}"/>
    <cellStyle name="備註 6" xfId="913" xr:uid="{00000000-0005-0000-0000-0000DE040000}"/>
    <cellStyle name="備註 7" xfId="914" xr:uid="{00000000-0005-0000-0000-0000DF040000}"/>
    <cellStyle name="備註 8" xfId="915" xr:uid="{00000000-0005-0000-0000-0000E0040000}"/>
    <cellStyle name="備註 9" xfId="916" xr:uid="{00000000-0005-0000-0000-0000E1040000}"/>
    <cellStyle name="備註_Bang gia MB ASUS Public - May 31" xfId="917" xr:uid="{00000000-0005-0000-0000-0000E2040000}"/>
    <cellStyle name="千分位 2" xfId="918" xr:uid="{00000000-0005-0000-0000-0000E3040000}"/>
    <cellStyle name="千分位 2 2" xfId="919" xr:uid="{00000000-0005-0000-0000-0000E4040000}"/>
    <cellStyle name="千分位 2 3" xfId="920" xr:uid="{00000000-0005-0000-0000-0000E5040000}"/>
    <cellStyle name="千分位 2 3 2" xfId="1524" xr:uid="{00000000-0005-0000-0000-0000E6040000}"/>
    <cellStyle name="千分位 2 4" xfId="1523" xr:uid="{00000000-0005-0000-0000-0000E7040000}"/>
    <cellStyle name="千分位 3" xfId="921" xr:uid="{00000000-0005-0000-0000-0000E8040000}"/>
    <cellStyle name="千分位[0]_Book1" xfId="922" xr:uid="{00000000-0005-0000-0000-0000E9040000}"/>
    <cellStyle name="千分位_Book1" xfId="923" xr:uid="{00000000-0005-0000-0000-0000EA040000}"/>
    <cellStyle name="合計" xfId="924" xr:uid="{00000000-0005-0000-0000-0000EB040000}"/>
    <cellStyle name="合計 10" xfId="925" xr:uid="{00000000-0005-0000-0000-0000EC040000}"/>
    <cellStyle name="合計 11" xfId="926" xr:uid="{00000000-0005-0000-0000-0000ED040000}"/>
    <cellStyle name="合計 2" xfId="927" xr:uid="{00000000-0005-0000-0000-0000EE040000}"/>
    <cellStyle name="合計 2 2" xfId="928" xr:uid="{00000000-0005-0000-0000-0000EF040000}"/>
    <cellStyle name="合計 3" xfId="929" xr:uid="{00000000-0005-0000-0000-0000F0040000}"/>
    <cellStyle name="合計 4" xfId="930" xr:uid="{00000000-0005-0000-0000-0000F1040000}"/>
    <cellStyle name="合計 5" xfId="931" xr:uid="{00000000-0005-0000-0000-0000F2040000}"/>
    <cellStyle name="合計 6" xfId="932" xr:uid="{00000000-0005-0000-0000-0000F3040000}"/>
    <cellStyle name="合計 7" xfId="933" xr:uid="{00000000-0005-0000-0000-0000F4040000}"/>
    <cellStyle name="合計 8" xfId="934" xr:uid="{00000000-0005-0000-0000-0000F5040000}"/>
    <cellStyle name="合計 9" xfId="935" xr:uid="{00000000-0005-0000-0000-0000F6040000}"/>
    <cellStyle name="合計_AMD MB 2011 APR Price List _PSD1" xfId="936" xr:uid="{00000000-0005-0000-0000-0000F7040000}"/>
    <cellStyle name="壞" xfId="937" xr:uid="{00000000-0005-0000-0000-0000F8040000}"/>
    <cellStyle name="壞 10" xfId="938" xr:uid="{00000000-0005-0000-0000-0000F9040000}"/>
    <cellStyle name="壞 11" xfId="939" xr:uid="{00000000-0005-0000-0000-0000FA040000}"/>
    <cellStyle name="壞 2" xfId="940" xr:uid="{00000000-0005-0000-0000-0000FB040000}"/>
    <cellStyle name="壞 2 2" xfId="941" xr:uid="{00000000-0005-0000-0000-0000FC040000}"/>
    <cellStyle name="壞 3" xfId="942" xr:uid="{00000000-0005-0000-0000-0000FD040000}"/>
    <cellStyle name="壞 4" xfId="943" xr:uid="{00000000-0005-0000-0000-0000FE040000}"/>
    <cellStyle name="壞 5" xfId="944" xr:uid="{00000000-0005-0000-0000-0000FF040000}"/>
    <cellStyle name="壞 6" xfId="945" xr:uid="{00000000-0005-0000-0000-000000050000}"/>
    <cellStyle name="壞 7" xfId="946" xr:uid="{00000000-0005-0000-0000-000001050000}"/>
    <cellStyle name="壞 8" xfId="947" xr:uid="{00000000-0005-0000-0000-000002050000}"/>
    <cellStyle name="壞 9" xfId="948" xr:uid="{00000000-0005-0000-0000-000003050000}"/>
    <cellStyle name="壞_10Y-06M-mgr_WS" xfId="949" xr:uid="{00000000-0005-0000-0000-000004050000}"/>
    <cellStyle name="壞_10Y-07M-mgr_WS" xfId="950" xr:uid="{00000000-0005-0000-0000-000005050000}"/>
    <cellStyle name="壞_AMD MB 2011 APR Price List _PSD1" xfId="951" xr:uid="{00000000-0005-0000-0000-000006050000}"/>
    <cellStyle name="壞_Bang Gia AMD MB" xfId="952" xr:uid="{00000000-0005-0000-0000-000007050000}"/>
    <cellStyle name="壞_Server PriceList_Dec2009" xfId="953" xr:uid="{00000000-0005-0000-0000-000008050000}"/>
    <cellStyle name="壞_Server PriceList_November_2009_ACI_11022009" xfId="954" xr:uid="{00000000-0005-0000-0000-000009050000}"/>
    <cellStyle name="壞_Server PriceList_November_2009_ACI_11022009 (2)" xfId="955" xr:uid="{00000000-0005-0000-0000-00000A050000}"/>
    <cellStyle name="壞_Summary" xfId="956" xr:uid="{00000000-0005-0000-0000-00000B050000}"/>
    <cellStyle name="壞_SVR_BB" xfId="957" xr:uid="{00000000-0005-0000-0000-00000C050000}"/>
    <cellStyle name="壞_SVR_BB_Option" xfId="958" xr:uid="{00000000-0005-0000-0000-00000D050000}"/>
    <cellStyle name="壞_SVR_WS_MB" xfId="959" xr:uid="{00000000-0005-0000-0000-00000E050000}"/>
    <cellStyle name="好" xfId="960" xr:uid="{00000000-0005-0000-0000-00000F050000}"/>
    <cellStyle name="好 10" xfId="961" xr:uid="{00000000-0005-0000-0000-000010050000}"/>
    <cellStyle name="好 11" xfId="962" xr:uid="{00000000-0005-0000-0000-000011050000}"/>
    <cellStyle name="好 2" xfId="963" xr:uid="{00000000-0005-0000-0000-000012050000}"/>
    <cellStyle name="好 2 2" xfId="964" xr:uid="{00000000-0005-0000-0000-000013050000}"/>
    <cellStyle name="好 3" xfId="965" xr:uid="{00000000-0005-0000-0000-000014050000}"/>
    <cellStyle name="好 4" xfId="966" xr:uid="{00000000-0005-0000-0000-000015050000}"/>
    <cellStyle name="好 5" xfId="967" xr:uid="{00000000-0005-0000-0000-000016050000}"/>
    <cellStyle name="好 6" xfId="968" xr:uid="{00000000-0005-0000-0000-000017050000}"/>
    <cellStyle name="好 7" xfId="969" xr:uid="{00000000-0005-0000-0000-000018050000}"/>
    <cellStyle name="好 8" xfId="970" xr:uid="{00000000-0005-0000-0000-000019050000}"/>
    <cellStyle name="好 9" xfId="971" xr:uid="{00000000-0005-0000-0000-00001A050000}"/>
    <cellStyle name="好_10Y-06M-mgr_WS" xfId="972" xr:uid="{00000000-0005-0000-0000-00001B050000}"/>
    <cellStyle name="好_10Y-07M-mgr_WS" xfId="973" xr:uid="{00000000-0005-0000-0000-00001C050000}"/>
    <cellStyle name="好_AMD MB 2011 APR Price List _PSD1" xfId="974" xr:uid="{00000000-0005-0000-0000-00001D050000}"/>
    <cellStyle name="好_Bang Gia AMD MB" xfId="975" xr:uid="{00000000-0005-0000-0000-00001E050000}"/>
    <cellStyle name="好_Server PriceList_Dec2009" xfId="976" xr:uid="{00000000-0005-0000-0000-00001F050000}"/>
    <cellStyle name="好_Server PriceList_November_2009_ACI_11022009" xfId="977" xr:uid="{00000000-0005-0000-0000-000020050000}"/>
    <cellStyle name="好_Server PriceList_November_2009_ACI_11022009 (2)" xfId="978" xr:uid="{00000000-0005-0000-0000-000021050000}"/>
    <cellStyle name="好_Summary" xfId="979" xr:uid="{00000000-0005-0000-0000-000022050000}"/>
    <cellStyle name="好_SVR_BB" xfId="980" xr:uid="{00000000-0005-0000-0000-000023050000}"/>
    <cellStyle name="好_SVR_BB_Option" xfId="981" xr:uid="{00000000-0005-0000-0000-000024050000}"/>
    <cellStyle name="好_SVR_WS_MB" xfId="982" xr:uid="{00000000-0005-0000-0000-000025050000}"/>
    <cellStyle name="標準_Aspila Price List" xfId="100" xr:uid="{00000000-0005-0000-0000-000026050000}"/>
    <cellStyle name="標題" xfId="984" xr:uid="{00000000-0005-0000-0000-000027050000}"/>
    <cellStyle name="標題 1" xfId="985" xr:uid="{00000000-0005-0000-0000-000028050000}"/>
    <cellStyle name="標題 1 10" xfId="986" xr:uid="{00000000-0005-0000-0000-000029050000}"/>
    <cellStyle name="標題 1 2" xfId="987" xr:uid="{00000000-0005-0000-0000-00002A050000}"/>
    <cellStyle name="標題 1 2 2" xfId="988" xr:uid="{00000000-0005-0000-0000-00002B050000}"/>
    <cellStyle name="標題 1 2_Bang gia MB ASUS Public - May 31" xfId="989" xr:uid="{00000000-0005-0000-0000-00002C050000}"/>
    <cellStyle name="標題 1 3" xfId="990" xr:uid="{00000000-0005-0000-0000-00002D050000}"/>
    <cellStyle name="標題 1 4" xfId="991" xr:uid="{00000000-0005-0000-0000-00002E050000}"/>
    <cellStyle name="標題 1 5" xfId="992" xr:uid="{00000000-0005-0000-0000-00002F050000}"/>
    <cellStyle name="標題 1 6" xfId="993" xr:uid="{00000000-0005-0000-0000-000030050000}"/>
    <cellStyle name="標題 1 7" xfId="994" xr:uid="{00000000-0005-0000-0000-000031050000}"/>
    <cellStyle name="標題 1 8" xfId="995" xr:uid="{00000000-0005-0000-0000-000032050000}"/>
    <cellStyle name="標題 1 9" xfId="996" xr:uid="{00000000-0005-0000-0000-000033050000}"/>
    <cellStyle name="標題 1_AMD MB 2011 APR Price List _PSD1" xfId="997" xr:uid="{00000000-0005-0000-0000-000034050000}"/>
    <cellStyle name="標題 10" xfId="998" xr:uid="{00000000-0005-0000-0000-000035050000}"/>
    <cellStyle name="標題 11" xfId="999" xr:uid="{00000000-0005-0000-0000-000036050000}"/>
    <cellStyle name="標題 12" xfId="1000" xr:uid="{00000000-0005-0000-0000-000037050000}"/>
    <cellStyle name="標題 13" xfId="1001" xr:uid="{00000000-0005-0000-0000-000038050000}"/>
    <cellStyle name="標題 2" xfId="1002" xr:uid="{00000000-0005-0000-0000-000039050000}"/>
    <cellStyle name="標題 2 10" xfId="1003" xr:uid="{00000000-0005-0000-0000-00003A050000}"/>
    <cellStyle name="標題 2 2" xfId="1004" xr:uid="{00000000-0005-0000-0000-00003B050000}"/>
    <cellStyle name="標題 2 2 2" xfId="1005" xr:uid="{00000000-0005-0000-0000-00003C050000}"/>
    <cellStyle name="標題 2 2_Bang gia MB ASUS Public - May 31" xfId="1006" xr:uid="{00000000-0005-0000-0000-00003D050000}"/>
    <cellStyle name="標題 2 3" xfId="1007" xr:uid="{00000000-0005-0000-0000-00003E050000}"/>
    <cellStyle name="標題 2 4" xfId="1008" xr:uid="{00000000-0005-0000-0000-00003F050000}"/>
    <cellStyle name="標題 2 5" xfId="1009" xr:uid="{00000000-0005-0000-0000-000040050000}"/>
    <cellStyle name="標題 2 6" xfId="1010" xr:uid="{00000000-0005-0000-0000-000041050000}"/>
    <cellStyle name="標題 2 7" xfId="1011" xr:uid="{00000000-0005-0000-0000-000042050000}"/>
    <cellStyle name="標題 2 8" xfId="1012" xr:uid="{00000000-0005-0000-0000-000043050000}"/>
    <cellStyle name="標題 2 9" xfId="1013" xr:uid="{00000000-0005-0000-0000-000044050000}"/>
    <cellStyle name="標題 2_AMD MB 2011 APR Price List _PSD1" xfId="1014" xr:uid="{00000000-0005-0000-0000-000045050000}"/>
    <cellStyle name="標題 3" xfId="1015" xr:uid="{00000000-0005-0000-0000-000046050000}"/>
    <cellStyle name="標題 3 10" xfId="1016" xr:uid="{00000000-0005-0000-0000-000047050000}"/>
    <cellStyle name="標題 3 2" xfId="1017" xr:uid="{00000000-0005-0000-0000-000048050000}"/>
    <cellStyle name="標題 3 2 2" xfId="1018" xr:uid="{00000000-0005-0000-0000-000049050000}"/>
    <cellStyle name="標題 3 2_Bang gia MB ASUS Public - May 31" xfId="1019" xr:uid="{00000000-0005-0000-0000-00004A050000}"/>
    <cellStyle name="標題 3 3" xfId="1020" xr:uid="{00000000-0005-0000-0000-00004B050000}"/>
    <cellStyle name="標題 3 4" xfId="1021" xr:uid="{00000000-0005-0000-0000-00004C050000}"/>
    <cellStyle name="標題 3 5" xfId="1022" xr:uid="{00000000-0005-0000-0000-00004D050000}"/>
    <cellStyle name="標題 3 6" xfId="1023" xr:uid="{00000000-0005-0000-0000-00004E050000}"/>
    <cellStyle name="標題 3 7" xfId="1024" xr:uid="{00000000-0005-0000-0000-00004F050000}"/>
    <cellStyle name="標題 3 8" xfId="1025" xr:uid="{00000000-0005-0000-0000-000050050000}"/>
    <cellStyle name="標題 3 9" xfId="1026" xr:uid="{00000000-0005-0000-0000-000051050000}"/>
    <cellStyle name="標題 3_AMD MB 2011 APR Price List _PSD1" xfId="1027" xr:uid="{00000000-0005-0000-0000-000052050000}"/>
    <cellStyle name="標題 4" xfId="1028" xr:uid="{00000000-0005-0000-0000-000053050000}"/>
    <cellStyle name="標題 4 10" xfId="1029" xr:uid="{00000000-0005-0000-0000-000054050000}"/>
    <cellStyle name="標題 4 2" xfId="1030" xr:uid="{00000000-0005-0000-0000-000055050000}"/>
    <cellStyle name="標題 4 2 2" xfId="1031" xr:uid="{00000000-0005-0000-0000-000056050000}"/>
    <cellStyle name="標題 4 3" xfId="1032" xr:uid="{00000000-0005-0000-0000-000057050000}"/>
    <cellStyle name="標題 4 4" xfId="1033" xr:uid="{00000000-0005-0000-0000-000058050000}"/>
    <cellStyle name="標題 4 5" xfId="1034" xr:uid="{00000000-0005-0000-0000-000059050000}"/>
    <cellStyle name="標題 4 6" xfId="1035" xr:uid="{00000000-0005-0000-0000-00005A050000}"/>
    <cellStyle name="標題 4 7" xfId="1036" xr:uid="{00000000-0005-0000-0000-00005B050000}"/>
    <cellStyle name="標題 4 8" xfId="1037" xr:uid="{00000000-0005-0000-0000-00005C050000}"/>
    <cellStyle name="標題 4 9" xfId="1038" xr:uid="{00000000-0005-0000-0000-00005D050000}"/>
    <cellStyle name="標題 4_AMD MB 2011 APR Price List _PSD1" xfId="1039" xr:uid="{00000000-0005-0000-0000-00005E050000}"/>
    <cellStyle name="標題 5" xfId="1040" xr:uid="{00000000-0005-0000-0000-00005F050000}"/>
    <cellStyle name="標題 6" xfId="1041" xr:uid="{00000000-0005-0000-0000-000060050000}"/>
    <cellStyle name="標題 7" xfId="1042" xr:uid="{00000000-0005-0000-0000-000061050000}"/>
    <cellStyle name="標題 8" xfId="1043" xr:uid="{00000000-0005-0000-0000-000062050000}"/>
    <cellStyle name="標題 9" xfId="1044" xr:uid="{00000000-0005-0000-0000-000063050000}"/>
    <cellStyle name="標題_AMD MB 2011 APR Price List _PSD1" xfId="1045" xr:uid="{00000000-0005-0000-0000-000064050000}"/>
    <cellStyle name="樣式 1" xfId="1046" xr:uid="{00000000-0005-0000-0000-000065050000}"/>
    <cellStyle name="檢查儲存格" xfId="1047" xr:uid="{00000000-0005-0000-0000-000066050000}"/>
    <cellStyle name="檢查儲存格 10" xfId="1048" xr:uid="{00000000-0005-0000-0000-000067050000}"/>
    <cellStyle name="檢查儲存格 11" xfId="1049" xr:uid="{00000000-0005-0000-0000-000068050000}"/>
    <cellStyle name="檢查儲存格 2" xfId="1050" xr:uid="{00000000-0005-0000-0000-000069050000}"/>
    <cellStyle name="檢查儲存格 2 2" xfId="1051" xr:uid="{00000000-0005-0000-0000-00006A050000}"/>
    <cellStyle name="檢查儲存格 2_Bang gia MB ASUS Public - May 31" xfId="1052" xr:uid="{00000000-0005-0000-0000-00006B050000}"/>
    <cellStyle name="檢查儲存格 3" xfId="1053" xr:uid="{00000000-0005-0000-0000-00006C050000}"/>
    <cellStyle name="檢查儲存格 4" xfId="1054" xr:uid="{00000000-0005-0000-0000-00006D050000}"/>
    <cellStyle name="檢查儲存格 5" xfId="1055" xr:uid="{00000000-0005-0000-0000-00006E050000}"/>
    <cellStyle name="檢查儲存格 6" xfId="1056" xr:uid="{00000000-0005-0000-0000-00006F050000}"/>
    <cellStyle name="檢查儲存格 7" xfId="1057" xr:uid="{00000000-0005-0000-0000-000070050000}"/>
    <cellStyle name="檢查儲存格 8" xfId="1058" xr:uid="{00000000-0005-0000-0000-000071050000}"/>
    <cellStyle name="檢查儲存格 9" xfId="1059" xr:uid="{00000000-0005-0000-0000-000072050000}"/>
    <cellStyle name="檢查儲存格_AMD MB 2011 APR Price List _PSD1" xfId="1060" xr:uid="{00000000-0005-0000-0000-000073050000}"/>
    <cellStyle name="計算方式" xfId="1061" xr:uid="{00000000-0005-0000-0000-000074050000}"/>
    <cellStyle name="計算方式 10" xfId="1062" xr:uid="{00000000-0005-0000-0000-000075050000}"/>
    <cellStyle name="計算方式 11" xfId="1063" xr:uid="{00000000-0005-0000-0000-000076050000}"/>
    <cellStyle name="計算方式 2" xfId="1064" xr:uid="{00000000-0005-0000-0000-000077050000}"/>
    <cellStyle name="計算方式 2 2" xfId="1065" xr:uid="{00000000-0005-0000-0000-000078050000}"/>
    <cellStyle name="計算方式 3" xfId="1066" xr:uid="{00000000-0005-0000-0000-000079050000}"/>
    <cellStyle name="計算方式 4" xfId="1067" xr:uid="{00000000-0005-0000-0000-00007A050000}"/>
    <cellStyle name="計算方式 5" xfId="1068" xr:uid="{00000000-0005-0000-0000-00007B050000}"/>
    <cellStyle name="計算方式 6" xfId="1069" xr:uid="{00000000-0005-0000-0000-00007C050000}"/>
    <cellStyle name="計算方式 7" xfId="1070" xr:uid="{00000000-0005-0000-0000-00007D050000}"/>
    <cellStyle name="計算方式 8" xfId="1071" xr:uid="{00000000-0005-0000-0000-00007E050000}"/>
    <cellStyle name="計算方式 9" xfId="1072" xr:uid="{00000000-0005-0000-0000-00007F050000}"/>
    <cellStyle name="計算方式_AMD MB 2011 APR Price List _PSD1" xfId="1073" xr:uid="{00000000-0005-0000-0000-000080050000}"/>
    <cellStyle name="說明文字" xfId="1074" xr:uid="{00000000-0005-0000-0000-000081050000}"/>
    <cellStyle name="說明文字 10" xfId="1075" xr:uid="{00000000-0005-0000-0000-000082050000}"/>
    <cellStyle name="說明文字 11" xfId="1076" xr:uid="{00000000-0005-0000-0000-000083050000}"/>
    <cellStyle name="說明文字 2" xfId="1077" xr:uid="{00000000-0005-0000-0000-000084050000}"/>
    <cellStyle name="說明文字 2 2" xfId="1078" xr:uid="{00000000-0005-0000-0000-000085050000}"/>
    <cellStyle name="說明文字 3" xfId="1079" xr:uid="{00000000-0005-0000-0000-000086050000}"/>
    <cellStyle name="說明文字 4" xfId="1080" xr:uid="{00000000-0005-0000-0000-000087050000}"/>
    <cellStyle name="說明文字 5" xfId="1081" xr:uid="{00000000-0005-0000-0000-000088050000}"/>
    <cellStyle name="說明文字 6" xfId="1082" xr:uid="{00000000-0005-0000-0000-000089050000}"/>
    <cellStyle name="說明文字 7" xfId="1083" xr:uid="{00000000-0005-0000-0000-00008A050000}"/>
    <cellStyle name="說明文字 8" xfId="1084" xr:uid="{00000000-0005-0000-0000-00008B050000}"/>
    <cellStyle name="說明文字 9" xfId="1085" xr:uid="{00000000-0005-0000-0000-00008C050000}"/>
    <cellStyle name="說明文字_AMD MB 2011 APR Price List _PSD1" xfId="1086" xr:uid="{00000000-0005-0000-0000-00008D050000}"/>
    <cellStyle name="警告文字" xfId="1087" xr:uid="{00000000-0005-0000-0000-00008E050000}"/>
    <cellStyle name="警告文字 10" xfId="1088" xr:uid="{00000000-0005-0000-0000-00008F050000}"/>
    <cellStyle name="警告文字 11" xfId="1089" xr:uid="{00000000-0005-0000-0000-000090050000}"/>
    <cellStyle name="警告文字 2" xfId="1090" xr:uid="{00000000-0005-0000-0000-000091050000}"/>
    <cellStyle name="警告文字 2 2" xfId="1091" xr:uid="{00000000-0005-0000-0000-000092050000}"/>
    <cellStyle name="警告文字 3" xfId="1092" xr:uid="{00000000-0005-0000-0000-000093050000}"/>
    <cellStyle name="警告文字 4" xfId="1093" xr:uid="{00000000-0005-0000-0000-000094050000}"/>
    <cellStyle name="警告文字 5" xfId="1094" xr:uid="{00000000-0005-0000-0000-000095050000}"/>
    <cellStyle name="警告文字 6" xfId="1095" xr:uid="{00000000-0005-0000-0000-000096050000}"/>
    <cellStyle name="警告文字 7" xfId="1096" xr:uid="{00000000-0005-0000-0000-000097050000}"/>
    <cellStyle name="警告文字 8" xfId="1097" xr:uid="{00000000-0005-0000-0000-000098050000}"/>
    <cellStyle name="警告文字 9" xfId="1098" xr:uid="{00000000-0005-0000-0000-000099050000}"/>
    <cellStyle name="警告文字_AMD MB 2011 APR Price List _PSD1" xfId="1099" xr:uid="{00000000-0005-0000-0000-00009A050000}"/>
    <cellStyle name="貨幣 [0]_Book1" xfId="1100" xr:uid="{00000000-0005-0000-0000-00009B050000}"/>
    <cellStyle name="貨幣 2" xfId="1101" xr:uid="{00000000-0005-0000-0000-00009C050000}"/>
    <cellStyle name="貨幣_Book1" xfId="1102" xr:uid="{00000000-0005-0000-0000-00009D050000}"/>
    <cellStyle name="超連結_WS_APAC_2011March_Channel_" xfId="1103" xr:uid="{00000000-0005-0000-0000-00009E050000}"/>
    <cellStyle name="輔色1" xfId="1104" xr:uid="{00000000-0005-0000-0000-00009F050000}"/>
    <cellStyle name="輔色1 10" xfId="1105" xr:uid="{00000000-0005-0000-0000-0000A0050000}"/>
    <cellStyle name="輔色1 11" xfId="1106" xr:uid="{00000000-0005-0000-0000-0000A1050000}"/>
    <cellStyle name="輔色1 2" xfId="1107" xr:uid="{00000000-0005-0000-0000-0000A2050000}"/>
    <cellStyle name="輔色1 2 2" xfId="1108" xr:uid="{00000000-0005-0000-0000-0000A3050000}"/>
    <cellStyle name="輔色1 3" xfId="1109" xr:uid="{00000000-0005-0000-0000-0000A4050000}"/>
    <cellStyle name="輔色1 4" xfId="1110" xr:uid="{00000000-0005-0000-0000-0000A5050000}"/>
    <cellStyle name="輔色1 5" xfId="1111" xr:uid="{00000000-0005-0000-0000-0000A6050000}"/>
    <cellStyle name="輔色1 6" xfId="1112" xr:uid="{00000000-0005-0000-0000-0000A7050000}"/>
    <cellStyle name="輔色1 7" xfId="1113" xr:uid="{00000000-0005-0000-0000-0000A8050000}"/>
    <cellStyle name="輔色1 8" xfId="1114" xr:uid="{00000000-0005-0000-0000-0000A9050000}"/>
    <cellStyle name="輔色1 9" xfId="1115" xr:uid="{00000000-0005-0000-0000-0000AA050000}"/>
    <cellStyle name="輔色1_AMD MB 2011 APR Price List _PSD1" xfId="1116" xr:uid="{00000000-0005-0000-0000-0000AB050000}"/>
    <cellStyle name="輔色2" xfId="1117" xr:uid="{00000000-0005-0000-0000-0000AC050000}"/>
    <cellStyle name="輔色2 10" xfId="1118" xr:uid="{00000000-0005-0000-0000-0000AD050000}"/>
    <cellStyle name="輔色2 11" xfId="1119" xr:uid="{00000000-0005-0000-0000-0000AE050000}"/>
    <cellStyle name="輔色2 2" xfId="1120" xr:uid="{00000000-0005-0000-0000-0000AF050000}"/>
    <cellStyle name="輔色2 2 2" xfId="1121" xr:uid="{00000000-0005-0000-0000-0000B0050000}"/>
    <cellStyle name="輔色2 3" xfId="1122" xr:uid="{00000000-0005-0000-0000-0000B1050000}"/>
    <cellStyle name="輔色2 4" xfId="1123" xr:uid="{00000000-0005-0000-0000-0000B2050000}"/>
    <cellStyle name="輔色2 5" xfId="1124" xr:uid="{00000000-0005-0000-0000-0000B3050000}"/>
    <cellStyle name="輔色2 6" xfId="1125" xr:uid="{00000000-0005-0000-0000-0000B4050000}"/>
    <cellStyle name="輔色2 7" xfId="1126" xr:uid="{00000000-0005-0000-0000-0000B5050000}"/>
    <cellStyle name="輔色2 8" xfId="1127" xr:uid="{00000000-0005-0000-0000-0000B6050000}"/>
    <cellStyle name="輔色2 9" xfId="1128" xr:uid="{00000000-0005-0000-0000-0000B7050000}"/>
    <cellStyle name="輔色2_AMD MB 2011 APR Price List _PSD1" xfId="1129" xr:uid="{00000000-0005-0000-0000-0000B8050000}"/>
    <cellStyle name="輔色3" xfId="1130" xr:uid="{00000000-0005-0000-0000-0000B9050000}"/>
    <cellStyle name="輔色3 10" xfId="1131" xr:uid="{00000000-0005-0000-0000-0000BA050000}"/>
    <cellStyle name="輔色3 11" xfId="1132" xr:uid="{00000000-0005-0000-0000-0000BB050000}"/>
    <cellStyle name="輔色3 2" xfId="1133" xr:uid="{00000000-0005-0000-0000-0000BC050000}"/>
    <cellStyle name="輔色3 2 2" xfId="1134" xr:uid="{00000000-0005-0000-0000-0000BD050000}"/>
    <cellStyle name="輔色3 3" xfId="1135" xr:uid="{00000000-0005-0000-0000-0000BE050000}"/>
    <cellStyle name="輔色3 4" xfId="1136" xr:uid="{00000000-0005-0000-0000-0000BF050000}"/>
    <cellStyle name="輔色3 5" xfId="1137" xr:uid="{00000000-0005-0000-0000-0000C0050000}"/>
    <cellStyle name="輔色3 6" xfId="1138" xr:uid="{00000000-0005-0000-0000-0000C1050000}"/>
    <cellStyle name="輔色3 7" xfId="1139" xr:uid="{00000000-0005-0000-0000-0000C2050000}"/>
    <cellStyle name="輔色3 8" xfId="1140" xr:uid="{00000000-0005-0000-0000-0000C3050000}"/>
    <cellStyle name="輔色3 9" xfId="1141" xr:uid="{00000000-0005-0000-0000-0000C4050000}"/>
    <cellStyle name="輔色3_AMD MB 2011 APR Price List _PSD1" xfId="1142" xr:uid="{00000000-0005-0000-0000-0000C5050000}"/>
    <cellStyle name="輔色4" xfId="1143" xr:uid="{00000000-0005-0000-0000-0000C6050000}"/>
    <cellStyle name="輔色4 10" xfId="1144" xr:uid="{00000000-0005-0000-0000-0000C7050000}"/>
    <cellStyle name="輔色4 11" xfId="1145" xr:uid="{00000000-0005-0000-0000-0000C8050000}"/>
    <cellStyle name="輔色4 2" xfId="1146" xr:uid="{00000000-0005-0000-0000-0000C9050000}"/>
    <cellStyle name="輔色4 2 2" xfId="1147" xr:uid="{00000000-0005-0000-0000-0000CA050000}"/>
    <cellStyle name="輔色4 3" xfId="1148" xr:uid="{00000000-0005-0000-0000-0000CB050000}"/>
    <cellStyle name="輔色4 4" xfId="1149" xr:uid="{00000000-0005-0000-0000-0000CC050000}"/>
    <cellStyle name="輔色4 5" xfId="1150" xr:uid="{00000000-0005-0000-0000-0000CD050000}"/>
    <cellStyle name="輔色4 6" xfId="1151" xr:uid="{00000000-0005-0000-0000-0000CE050000}"/>
    <cellStyle name="輔色4 7" xfId="1152" xr:uid="{00000000-0005-0000-0000-0000CF050000}"/>
    <cellStyle name="輔色4 8" xfId="1153" xr:uid="{00000000-0005-0000-0000-0000D0050000}"/>
    <cellStyle name="輔色4 9" xfId="1154" xr:uid="{00000000-0005-0000-0000-0000D1050000}"/>
    <cellStyle name="輔色4_AMD MB 2011 APR Price List _PSD1" xfId="1155" xr:uid="{00000000-0005-0000-0000-0000D2050000}"/>
    <cellStyle name="輔色5" xfId="1156" xr:uid="{00000000-0005-0000-0000-0000D3050000}"/>
    <cellStyle name="輔色5 10" xfId="1157" xr:uid="{00000000-0005-0000-0000-0000D4050000}"/>
    <cellStyle name="輔色5 11" xfId="1158" xr:uid="{00000000-0005-0000-0000-0000D5050000}"/>
    <cellStyle name="輔色5 2" xfId="1159" xr:uid="{00000000-0005-0000-0000-0000D6050000}"/>
    <cellStyle name="輔色5 2 2" xfId="1160" xr:uid="{00000000-0005-0000-0000-0000D7050000}"/>
    <cellStyle name="輔色5 3" xfId="1161" xr:uid="{00000000-0005-0000-0000-0000D8050000}"/>
    <cellStyle name="輔色5 4" xfId="1162" xr:uid="{00000000-0005-0000-0000-0000D9050000}"/>
    <cellStyle name="輔色5 5" xfId="1163" xr:uid="{00000000-0005-0000-0000-0000DA050000}"/>
    <cellStyle name="輔色5 6" xfId="1164" xr:uid="{00000000-0005-0000-0000-0000DB050000}"/>
    <cellStyle name="輔色5 7" xfId="1165" xr:uid="{00000000-0005-0000-0000-0000DC050000}"/>
    <cellStyle name="輔色5 8" xfId="1166" xr:uid="{00000000-0005-0000-0000-0000DD050000}"/>
    <cellStyle name="輔色5 9" xfId="1167" xr:uid="{00000000-0005-0000-0000-0000DE050000}"/>
    <cellStyle name="輔色5_AMD MB 2011 APR Price List _PSD1" xfId="1168" xr:uid="{00000000-0005-0000-0000-0000DF050000}"/>
    <cellStyle name="輔色6" xfId="1169" xr:uid="{00000000-0005-0000-0000-0000E0050000}"/>
    <cellStyle name="輔色6 10" xfId="1170" xr:uid="{00000000-0005-0000-0000-0000E1050000}"/>
    <cellStyle name="輔色6 11" xfId="1171" xr:uid="{00000000-0005-0000-0000-0000E2050000}"/>
    <cellStyle name="輔色6 2" xfId="1172" xr:uid="{00000000-0005-0000-0000-0000E3050000}"/>
    <cellStyle name="輔色6 2 2" xfId="1173" xr:uid="{00000000-0005-0000-0000-0000E4050000}"/>
    <cellStyle name="輔色6 3" xfId="1174" xr:uid="{00000000-0005-0000-0000-0000E5050000}"/>
    <cellStyle name="輔色6 4" xfId="1175" xr:uid="{00000000-0005-0000-0000-0000E6050000}"/>
    <cellStyle name="輔色6 5" xfId="1176" xr:uid="{00000000-0005-0000-0000-0000E7050000}"/>
    <cellStyle name="輔色6 6" xfId="1177" xr:uid="{00000000-0005-0000-0000-0000E8050000}"/>
    <cellStyle name="輔色6 7" xfId="1178" xr:uid="{00000000-0005-0000-0000-0000E9050000}"/>
    <cellStyle name="輔色6 8" xfId="1179" xr:uid="{00000000-0005-0000-0000-0000EA050000}"/>
    <cellStyle name="輔色6 9" xfId="1180" xr:uid="{00000000-0005-0000-0000-0000EB050000}"/>
    <cellStyle name="輔色6_AMD MB 2011 APR Price List _PSD1" xfId="1181" xr:uid="{00000000-0005-0000-0000-0000EC050000}"/>
    <cellStyle name="輸入" xfId="1182" xr:uid="{00000000-0005-0000-0000-0000ED050000}"/>
    <cellStyle name="輸入 10" xfId="1183" xr:uid="{00000000-0005-0000-0000-0000EE050000}"/>
    <cellStyle name="輸入 11" xfId="1184" xr:uid="{00000000-0005-0000-0000-0000EF050000}"/>
    <cellStyle name="輸入 2" xfId="1185" xr:uid="{00000000-0005-0000-0000-0000F0050000}"/>
    <cellStyle name="輸入 2 2" xfId="1186" xr:uid="{00000000-0005-0000-0000-0000F1050000}"/>
    <cellStyle name="輸入 3" xfId="1187" xr:uid="{00000000-0005-0000-0000-0000F2050000}"/>
    <cellStyle name="輸入 4" xfId="1188" xr:uid="{00000000-0005-0000-0000-0000F3050000}"/>
    <cellStyle name="輸入 5" xfId="1189" xr:uid="{00000000-0005-0000-0000-0000F4050000}"/>
    <cellStyle name="輸入 6" xfId="1190" xr:uid="{00000000-0005-0000-0000-0000F5050000}"/>
    <cellStyle name="輸入 7" xfId="1191" xr:uid="{00000000-0005-0000-0000-0000F6050000}"/>
    <cellStyle name="輸入 8" xfId="1192" xr:uid="{00000000-0005-0000-0000-0000F7050000}"/>
    <cellStyle name="輸入 9" xfId="1193" xr:uid="{00000000-0005-0000-0000-0000F8050000}"/>
    <cellStyle name="輸入_AMD MB 2011 APR Price List _PSD1" xfId="1194" xr:uid="{00000000-0005-0000-0000-0000F9050000}"/>
    <cellStyle name="輸出" xfId="1195" xr:uid="{00000000-0005-0000-0000-0000FA050000}"/>
    <cellStyle name="輸出 10" xfId="1196" xr:uid="{00000000-0005-0000-0000-0000FB050000}"/>
    <cellStyle name="輸出 11" xfId="1197" xr:uid="{00000000-0005-0000-0000-0000FC050000}"/>
    <cellStyle name="輸出 2" xfId="1198" xr:uid="{00000000-0005-0000-0000-0000FD050000}"/>
    <cellStyle name="輸出 2 2" xfId="1199" xr:uid="{00000000-0005-0000-0000-0000FE050000}"/>
    <cellStyle name="輸出 2_Bang gia MB ASUS Public - May 31" xfId="1200" xr:uid="{00000000-0005-0000-0000-0000FF050000}"/>
    <cellStyle name="輸出 3" xfId="1201" xr:uid="{00000000-0005-0000-0000-000000060000}"/>
    <cellStyle name="輸出 4" xfId="1202" xr:uid="{00000000-0005-0000-0000-000001060000}"/>
    <cellStyle name="輸出 5" xfId="1203" xr:uid="{00000000-0005-0000-0000-000002060000}"/>
    <cellStyle name="輸出 6" xfId="1204" xr:uid="{00000000-0005-0000-0000-000003060000}"/>
    <cellStyle name="輸出 7" xfId="1205" xr:uid="{00000000-0005-0000-0000-000004060000}"/>
    <cellStyle name="輸出 8" xfId="1206" xr:uid="{00000000-0005-0000-0000-000005060000}"/>
    <cellStyle name="輸出 9" xfId="1207" xr:uid="{00000000-0005-0000-0000-000006060000}"/>
    <cellStyle name="輸出_AMD MB 2011 APR Price List _PSD1" xfId="1208" xr:uid="{00000000-0005-0000-0000-000007060000}"/>
    <cellStyle name="連結的儲存格" xfId="1209" xr:uid="{00000000-0005-0000-0000-000008060000}"/>
    <cellStyle name="連結的儲存格 10" xfId="1210" xr:uid="{00000000-0005-0000-0000-000009060000}"/>
    <cellStyle name="連結的儲存格 11" xfId="1211" xr:uid="{00000000-0005-0000-0000-00000A060000}"/>
    <cellStyle name="連結的儲存格 2" xfId="1212" xr:uid="{00000000-0005-0000-0000-00000B060000}"/>
    <cellStyle name="連結的儲存格 2 2" xfId="1213" xr:uid="{00000000-0005-0000-0000-00000C060000}"/>
    <cellStyle name="連結的儲存格 3" xfId="1214" xr:uid="{00000000-0005-0000-0000-00000D060000}"/>
    <cellStyle name="連結的儲存格 4" xfId="1215" xr:uid="{00000000-0005-0000-0000-00000E060000}"/>
    <cellStyle name="連結的儲存格 5" xfId="1216" xr:uid="{00000000-0005-0000-0000-00000F060000}"/>
    <cellStyle name="連結的儲存格 6" xfId="1217" xr:uid="{00000000-0005-0000-0000-000010060000}"/>
    <cellStyle name="連結的儲存格 7" xfId="1218" xr:uid="{00000000-0005-0000-0000-000011060000}"/>
    <cellStyle name="連結的儲存格 8" xfId="1219" xr:uid="{00000000-0005-0000-0000-000012060000}"/>
    <cellStyle name="連結的儲存格 9" xfId="1220" xr:uid="{00000000-0005-0000-0000-000013060000}"/>
    <cellStyle name="連結的儲存格_AMD MB 2011 APR Price List _PSD1" xfId="1221" xr:uid="{00000000-0005-0000-0000-00001406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48</xdr:row>
      <xdr:rowOff>0</xdr:rowOff>
    </xdr:from>
    <xdr:ext cx="0" cy="142875"/>
    <xdr:pic>
      <xdr:nvPicPr>
        <xdr:cNvPr id="2" name="Picture 2">
          <a:extLst>
            <a:ext uri="{FF2B5EF4-FFF2-40B4-BE49-F238E27FC236}">
              <a16:creationId xmlns:a16="http://schemas.microsoft.com/office/drawing/2014/main" id="{17FDCE0D-FFF1-45F0-AA16-493CFB7D97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81857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242888</xdr:colOff>
      <xdr:row>48</xdr:row>
      <xdr:rowOff>0</xdr:rowOff>
    </xdr:from>
    <xdr:ext cx="1012171" cy="0"/>
    <xdr:pic>
      <xdr:nvPicPr>
        <xdr:cNvPr id="3" name="Picture 10">
          <a:extLst>
            <a:ext uri="{FF2B5EF4-FFF2-40B4-BE49-F238E27FC236}">
              <a16:creationId xmlns:a16="http://schemas.microsoft.com/office/drawing/2014/main" id="{30F2D5EF-E634-4860-9F81-5C0BF4F0DB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 y="38185725"/>
          <a:ext cx="1012171"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48</xdr:row>
      <xdr:rowOff>0</xdr:rowOff>
    </xdr:from>
    <xdr:ext cx="0" cy="142875"/>
    <xdr:pic>
      <xdr:nvPicPr>
        <xdr:cNvPr id="4" name="Picture 2">
          <a:extLst>
            <a:ext uri="{FF2B5EF4-FFF2-40B4-BE49-F238E27FC236}">
              <a16:creationId xmlns:a16="http://schemas.microsoft.com/office/drawing/2014/main" id="{74ECA86D-6250-4D93-9B05-4880915D51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81857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48</xdr:row>
      <xdr:rowOff>0</xdr:rowOff>
    </xdr:from>
    <xdr:ext cx="0" cy="142875"/>
    <xdr:pic>
      <xdr:nvPicPr>
        <xdr:cNvPr id="5" name="Picture 2">
          <a:extLst>
            <a:ext uri="{FF2B5EF4-FFF2-40B4-BE49-F238E27FC236}">
              <a16:creationId xmlns:a16="http://schemas.microsoft.com/office/drawing/2014/main" id="{94E2BBE4-01C3-4BF9-A17F-4D7F110C67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81857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48</xdr:row>
      <xdr:rowOff>0</xdr:rowOff>
    </xdr:from>
    <xdr:ext cx="0" cy="142875"/>
    <xdr:pic>
      <xdr:nvPicPr>
        <xdr:cNvPr id="6" name="Picture 2">
          <a:extLst>
            <a:ext uri="{FF2B5EF4-FFF2-40B4-BE49-F238E27FC236}">
              <a16:creationId xmlns:a16="http://schemas.microsoft.com/office/drawing/2014/main" id="{81DB5026-1D46-44CD-B9AD-8898AA45EE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81857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48</xdr:row>
      <xdr:rowOff>0</xdr:rowOff>
    </xdr:from>
    <xdr:ext cx="0" cy="142875"/>
    <xdr:pic>
      <xdr:nvPicPr>
        <xdr:cNvPr id="7" name="Picture 2">
          <a:extLst>
            <a:ext uri="{FF2B5EF4-FFF2-40B4-BE49-F238E27FC236}">
              <a16:creationId xmlns:a16="http://schemas.microsoft.com/office/drawing/2014/main" id="{A96844A0-42A0-49F3-9328-5043247818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81857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0</xdr:colOff>
      <xdr:row>1</xdr:row>
      <xdr:rowOff>0</xdr:rowOff>
    </xdr:from>
    <xdr:to>
      <xdr:col>6</xdr:col>
      <xdr:colOff>453838</xdr:colOff>
      <xdr:row>1</xdr:row>
      <xdr:rowOff>1069104</xdr:rowOff>
    </xdr:to>
    <xdr:sp macro="" textlink="">
      <xdr:nvSpPr>
        <xdr:cNvPr id="8" name="Subtitle 2">
          <a:extLst>
            <a:ext uri="{FF2B5EF4-FFF2-40B4-BE49-F238E27FC236}">
              <a16:creationId xmlns:a16="http://schemas.microsoft.com/office/drawing/2014/main" id="{ED4A7D2A-32FE-49F0-86DC-563E4944699B}"/>
            </a:ext>
          </a:extLst>
        </xdr:cNvPr>
        <xdr:cNvSpPr>
          <a:spLocks noGrp="1"/>
        </xdr:cNvSpPr>
      </xdr:nvSpPr>
      <xdr:spPr bwMode="auto">
        <a:xfrm>
          <a:off x="0" y="1266825"/>
          <a:ext cx="9807388" cy="0"/>
        </a:xfrm>
        <a:prstGeom prst="rect">
          <a:avLst/>
        </a:prstGeom>
        <a:noFill/>
        <a:ln>
          <a:noFill/>
        </a:ln>
      </xdr:spPr>
      <xdr:txBody>
        <a:bodyPr vertOverflow="clip" wrap="square" lIns="91440" tIns="45720" rIns="91440" bIns="45720" anchor="ctr"/>
        <a:lstStyle/>
        <a:p>
          <a:pPr algn="ctr" rtl="0">
            <a:lnSpc>
              <a:spcPts val="1500"/>
            </a:lnSpc>
            <a:defRPr sz="1000"/>
          </a:pPr>
          <a:r>
            <a:rPr lang="vi-VN" sz="1400" b="1" i="0" u="none" strike="noStrike">
              <a:effectLst/>
              <a:latin typeface="+mn-lt"/>
              <a:ea typeface="+mn-ea"/>
              <a:cs typeface="+mn-cs"/>
            </a:rPr>
            <a:t>CÔNG TY TNHH THÀNH AN TECHNOLOGY</a:t>
          </a:r>
          <a:br>
            <a:rPr lang="vi-VN" sz="1400" b="1" i="0" u="none" strike="noStrike">
              <a:effectLst/>
              <a:latin typeface="+mn-lt"/>
              <a:ea typeface="+mn-ea"/>
              <a:cs typeface="+mn-cs"/>
            </a:rPr>
          </a:br>
          <a:r>
            <a:rPr lang="vi-VN" sz="1400" b="0" i="0" u="none" strike="noStrike">
              <a:effectLst/>
              <a:latin typeface="+mn-lt"/>
              <a:ea typeface="+mn-ea"/>
              <a:cs typeface="+mn-cs"/>
            </a:rPr>
            <a:t>MST: 4201838399 - </a:t>
          </a:r>
          <a:r>
            <a:rPr lang="vi-VN" sz="1400" b="0" i="1" u="none" strike="noStrike">
              <a:effectLst/>
              <a:latin typeface="+mn-lt"/>
              <a:ea typeface="+mn-ea"/>
              <a:cs typeface="+mn-cs"/>
            </a:rPr>
            <a:t>Địa chỉ :  Số 01, đường số 15, KĐT VCN Phước Long, TP.Nha Trang, T.Khánh Hòa.</a:t>
          </a:r>
          <a:br>
            <a:rPr lang="vi-VN" sz="1400" b="0" i="1" u="none" strike="noStrike">
              <a:effectLst/>
              <a:latin typeface="+mn-lt"/>
              <a:ea typeface="+mn-ea"/>
              <a:cs typeface="+mn-cs"/>
            </a:rPr>
          </a:br>
          <a:r>
            <a:rPr lang="vi-VN" sz="1400" b="0" i="1" u="none" strike="noStrike">
              <a:effectLst/>
              <a:latin typeface="+mn-lt"/>
              <a:ea typeface="+mn-ea"/>
              <a:cs typeface="+mn-cs"/>
            </a:rPr>
            <a:t>Hotline : </a:t>
          </a:r>
          <a:r>
            <a:rPr lang="vi-VN" sz="1400" b="1" i="1" u="none" strike="noStrike">
              <a:effectLst/>
              <a:latin typeface="+mn-lt"/>
              <a:ea typeface="+mn-ea"/>
              <a:cs typeface="+mn-cs"/>
            </a:rPr>
            <a:t>09 3579 3070</a:t>
          </a:r>
          <a:r>
            <a:rPr lang="vi-VN" sz="1400" b="0" i="1" u="none" strike="noStrike">
              <a:effectLst/>
              <a:latin typeface="+mn-lt"/>
              <a:ea typeface="+mn-ea"/>
              <a:cs typeface="+mn-cs"/>
            </a:rPr>
            <a:t>  - website: lapcameratainhatrang.vn - Email: congnghethanhan2012@gmail.com</a:t>
          </a:r>
          <a:r>
            <a:rPr lang="vi-VN" sz="1400"/>
            <a:t> </a:t>
          </a:r>
          <a:endParaRPr lang="en-US" sz="1400" b="0" i="0" u="none" strike="noStrike" baseline="0">
            <a:solidFill>
              <a:srgbClr val="000000"/>
            </a:solidFill>
            <a:latin typeface="Times New Roman" pitchFamily="18" charset="0"/>
            <a:ea typeface="Tahoma" pitchFamily="34" charset="0"/>
            <a:cs typeface="Times New Roman" pitchFamily="18" charset="0"/>
          </a:endParaRPr>
        </a:p>
      </xdr:txBody>
    </xdr:sp>
    <xdr:clientData/>
  </xdr:twoCellAnchor>
  <xdr:twoCellAnchor editAs="oneCell">
    <xdr:from>
      <xdr:col>1</xdr:col>
      <xdr:colOff>56360</xdr:colOff>
      <xdr:row>0</xdr:row>
      <xdr:rowOff>39291</xdr:rowOff>
    </xdr:from>
    <xdr:to>
      <xdr:col>2</xdr:col>
      <xdr:colOff>60726</xdr:colOff>
      <xdr:row>1</xdr:row>
      <xdr:rowOff>0</xdr:rowOff>
    </xdr:to>
    <xdr:pic>
      <xdr:nvPicPr>
        <xdr:cNvPr id="9" name="Picture 8">
          <a:extLst>
            <a:ext uri="{FF2B5EF4-FFF2-40B4-BE49-F238E27FC236}">
              <a16:creationId xmlns:a16="http://schemas.microsoft.com/office/drawing/2014/main" id="{CE7E7202-CA14-4093-95A2-CE5A02E30196}"/>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8447" t="19518" r="16376" b="24099"/>
        <a:stretch/>
      </xdr:blipFill>
      <xdr:spPr>
        <a:xfrm>
          <a:off x="380210" y="39291"/>
          <a:ext cx="1890316" cy="1227534"/>
        </a:xfrm>
        <a:prstGeom prst="rect">
          <a:avLst/>
        </a:prstGeom>
      </xdr:spPr>
    </xdr:pic>
    <xdr:clientData/>
  </xdr:twoCellAnchor>
  <xdr:oneCellAnchor>
    <xdr:from>
      <xdr:col>2</xdr:col>
      <xdr:colOff>0</xdr:colOff>
      <xdr:row>49</xdr:row>
      <xdr:rowOff>0</xdr:rowOff>
    </xdr:from>
    <xdr:ext cx="0" cy="142875"/>
    <xdr:pic>
      <xdr:nvPicPr>
        <xdr:cNvPr id="10" name="Picture 2">
          <a:extLst>
            <a:ext uri="{FF2B5EF4-FFF2-40B4-BE49-F238E27FC236}">
              <a16:creationId xmlns:a16="http://schemas.microsoft.com/office/drawing/2014/main" id="{8E124734-3B94-474D-A5E5-4D780C0AEA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847147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49</xdr:row>
      <xdr:rowOff>0</xdr:rowOff>
    </xdr:from>
    <xdr:ext cx="0" cy="142875"/>
    <xdr:pic>
      <xdr:nvPicPr>
        <xdr:cNvPr id="11" name="Picture 2">
          <a:extLst>
            <a:ext uri="{FF2B5EF4-FFF2-40B4-BE49-F238E27FC236}">
              <a16:creationId xmlns:a16="http://schemas.microsoft.com/office/drawing/2014/main" id="{0BEC3F8F-00C5-432C-AC46-C0B4FB6633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847147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49</xdr:row>
      <xdr:rowOff>0</xdr:rowOff>
    </xdr:from>
    <xdr:ext cx="0" cy="142875"/>
    <xdr:pic>
      <xdr:nvPicPr>
        <xdr:cNvPr id="12" name="Picture 2">
          <a:extLst>
            <a:ext uri="{FF2B5EF4-FFF2-40B4-BE49-F238E27FC236}">
              <a16:creationId xmlns:a16="http://schemas.microsoft.com/office/drawing/2014/main" id="{C20DCE00-5A4B-4B3E-9F34-F1799C0546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847147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49</xdr:row>
      <xdr:rowOff>0</xdr:rowOff>
    </xdr:from>
    <xdr:ext cx="0" cy="142875"/>
    <xdr:pic>
      <xdr:nvPicPr>
        <xdr:cNvPr id="13" name="Picture 2">
          <a:extLst>
            <a:ext uri="{FF2B5EF4-FFF2-40B4-BE49-F238E27FC236}">
              <a16:creationId xmlns:a16="http://schemas.microsoft.com/office/drawing/2014/main" id="{9C5C4E7D-6712-450A-8C1C-4DACA02970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847147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49</xdr:row>
      <xdr:rowOff>0</xdr:rowOff>
    </xdr:from>
    <xdr:ext cx="0" cy="142875"/>
    <xdr:pic>
      <xdr:nvPicPr>
        <xdr:cNvPr id="14" name="Picture 2">
          <a:extLst>
            <a:ext uri="{FF2B5EF4-FFF2-40B4-BE49-F238E27FC236}">
              <a16:creationId xmlns:a16="http://schemas.microsoft.com/office/drawing/2014/main" id="{5FCF3DC6-38D7-4560-BC5A-0F04A0866C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847147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41</xdr:row>
      <xdr:rowOff>0</xdr:rowOff>
    </xdr:from>
    <xdr:ext cx="0" cy="142875"/>
    <xdr:pic>
      <xdr:nvPicPr>
        <xdr:cNvPr id="15" name="Picture 2">
          <a:extLst>
            <a:ext uri="{FF2B5EF4-FFF2-40B4-BE49-F238E27FC236}">
              <a16:creationId xmlns:a16="http://schemas.microsoft.com/office/drawing/2014/main" id="{D618F9C5-4ECF-47A6-B297-F0B7D6EAC3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65474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41</xdr:row>
      <xdr:rowOff>0</xdr:rowOff>
    </xdr:from>
    <xdr:ext cx="0" cy="142875"/>
    <xdr:pic>
      <xdr:nvPicPr>
        <xdr:cNvPr id="16" name="Picture 15">
          <a:extLst>
            <a:ext uri="{FF2B5EF4-FFF2-40B4-BE49-F238E27FC236}">
              <a16:creationId xmlns:a16="http://schemas.microsoft.com/office/drawing/2014/main" id="{77329C02-DC16-4071-8D3F-ED3E422143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65474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41</xdr:row>
      <xdr:rowOff>0</xdr:rowOff>
    </xdr:from>
    <xdr:ext cx="0" cy="142875"/>
    <xdr:pic>
      <xdr:nvPicPr>
        <xdr:cNvPr id="17" name="Picture 2">
          <a:extLst>
            <a:ext uri="{FF2B5EF4-FFF2-40B4-BE49-F238E27FC236}">
              <a16:creationId xmlns:a16="http://schemas.microsoft.com/office/drawing/2014/main" id="{7B75245C-AC75-4AC1-9B38-78F8CD4AB8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65474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41</xdr:row>
      <xdr:rowOff>0</xdr:rowOff>
    </xdr:from>
    <xdr:ext cx="0" cy="142875"/>
    <xdr:pic>
      <xdr:nvPicPr>
        <xdr:cNvPr id="18" name="Picture 2">
          <a:extLst>
            <a:ext uri="{FF2B5EF4-FFF2-40B4-BE49-F238E27FC236}">
              <a16:creationId xmlns:a16="http://schemas.microsoft.com/office/drawing/2014/main" id="{1A4386ED-ECFD-4A9D-91AF-5EB536A049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65474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41</xdr:row>
      <xdr:rowOff>0</xdr:rowOff>
    </xdr:from>
    <xdr:ext cx="0" cy="142875"/>
    <xdr:pic>
      <xdr:nvPicPr>
        <xdr:cNvPr id="19" name="Picture 2">
          <a:extLst>
            <a:ext uri="{FF2B5EF4-FFF2-40B4-BE49-F238E27FC236}">
              <a16:creationId xmlns:a16="http://schemas.microsoft.com/office/drawing/2014/main" id="{16F65DCF-90A3-4D94-AF04-2DA7DA78BB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654742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44</xdr:row>
      <xdr:rowOff>0</xdr:rowOff>
    </xdr:from>
    <xdr:ext cx="0" cy="142875"/>
    <xdr:pic>
      <xdr:nvPicPr>
        <xdr:cNvPr id="20" name="Picture 2">
          <a:extLst>
            <a:ext uri="{FF2B5EF4-FFF2-40B4-BE49-F238E27FC236}">
              <a16:creationId xmlns:a16="http://schemas.microsoft.com/office/drawing/2014/main" id="{CE73CB23-37EE-44BD-9FF0-58E84E4E51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731895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44</xdr:row>
      <xdr:rowOff>0</xdr:rowOff>
    </xdr:from>
    <xdr:ext cx="0" cy="142875"/>
    <xdr:pic>
      <xdr:nvPicPr>
        <xdr:cNvPr id="21" name="Picture 2">
          <a:extLst>
            <a:ext uri="{FF2B5EF4-FFF2-40B4-BE49-F238E27FC236}">
              <a16:creationId xmlns:a16="http://schemas.microsoft.com/office/drawing/2014/main" id="{53706773-2A5E-410F-BFF2-BBABC3C658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731895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44</xdr:row>
      <xdr:rowOff>0</xdr:rowOff>
    </xdr:from>
    <xdr:ext cx="0" cy="142875"/>
    <xdr:pic>
      <xdr:nvPicPr>
        <xdr:cNvPr id="22" name="Picture 2">
          <a:extLst>
            <a:ext uri="{FF2B5EF4-FFF2-40B4-BE49-F238E27FC236}">
              <a16:creationId xmlns:a16="http://schemas.microsoft.com/office/drawing/2014/main" id="{B9BDACB6-D386-49B2-AD05-F2DF48070D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731895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44</xdr:row>
      <xdr:rowOff>0</xdr:rowOff>
    </xdr:from>
    <xdr:ext cx="0" cy="142875"/>
    <xdr:pic>
      <xdr:nvPicPr>
        <xdr:cNvPr id="23" name="Picture 2">
          <a:extLst>
            <a:ext uri="{FF2B5EF4-FFF2-40B4-BE49-F238E27FC236}">
              <a16:creationId xmlns:a16="http://schemas.microsoft.com/office/drawing/2014/main" id="{1E53F88D-7E13-4181-AB3A-D27FB3583D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731895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44</xdr:row>
      <xdr:rowOff>0</xdr:rowOff>
    </xdr:from>
    <xdr:ext cx="0" cy="142875"/>
    <xdr:pic>
      <xdr:nvPicPr>
        <xdr:cNvPr id="24" name="Picture 2">
          <a:extLst>
            <a:ext uri="{FF2B5EF4-FFF2-40B4-BE49-F238E27FC236}">
              <a16:creationId xmlns:a16="http://schemas.microsoft.com/office/drawing/2014/main" id="{90A41920-3E34-475C-B8A5-CAA7306BB6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731895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42</xdr:row>
      <xdr:rowOff>0</xdr:rowOff>
    </xdr:from>
    <xdr:ext cx="0" cy="142875"/>
    <xdr:pic>
      <xdr:nvPicPr>
        <xdr:cNvPr id="25" name="Picture 2">
          <a:extLst>
            <a:ext uri="{FF2B5EF4-FFF2-40B4-BE49-F238E27FC236}">
              <a16:creationId xmlns:a16="http://schemas.microsoft.com/office/drawing/2014/main" id="{8235C0F5-D443-4A71-9AEC-4F52F5FEB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680460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42</xdr:row>
      <xdr:rowOff>0</xdr:rowOff>
    </xdr:from>
    <xdr:ext cx="0" cy="142875"/>
    <xdr:pic>
      <xdr:nvPicPr>
        <xdr:cNvPr id="26" name="Picture 25">
          <a:extLst>
            <a:ext uri="{FF2B5EF4-FFF2-40B4-BE49-F238E27FC236}">
              <a16:creationId xmlns:a16="http://schemas.microsoft.com/office/drawing/2014/main" id="{05D26ED3-FA8A-456B-96D9-A70223AE84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680460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42</xdr:row>
      <xdr:rowOff>0</xdr:rowOff>
    </xdr:from>
    <xdr:ext cx="0" cy="142875"/>
    <xdr:pic>
      <xdr:nvPicPr>
        <xdr:cNvPr id="27" name="Picture 2">
          <a:extLst>
            <a:ext uri="{FF2B5EF4-FFF2-40B4-BE49-F238E27FC236}">
              <a16:creationId xmlns:a16="http://schemas.microsoft.com/office/drawing/2014/main" id="{ACC9A939-DBA6-4D39-9966-DA0BEA1ABE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680460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42</xdr:row>
      <xdr:rowOff>0</xdr:rowOff>
    </xdr:from>
    <xdr:ext cx="0" cy="142875"/>
    <xdr:pic>
      <xdr:nvPicPr>
        <xdr:cNvPr id="28" name="Picture 2">
          <a:extLst>
            <a:ext uri="{FF2B5EF4-FFF2-40B4-BE49-F238E27FC236}">
              <a16:creationId xmlns:a16="http://schemas.microsoft.com/office/drawing/2014/main" id="{CF343877-0DDC-41BC-A555-47ED23BB01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680460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42</xdr:row>
      <xdr:rowOff>0</xdr:rowOff>
    </xdr:from>
    <xdr:ext cx="0" cy="142875"/>
    <xdr:pic>
      <xdr:nvPicPr>
        <xdr:cNvPr id="29" name="Picture 2">
          <a:extLst>
            <a:ext uri="{FF2B5EF4-FFF2-40B4-BE49-F238E27FC236}">
              <a16:creationId xmlns:a16="http://schemas.microsoft.com/office/drawing/2014/main" id="{1BF6EDF4-7040-4EE3-A350-75FE2957EB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680460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43</xdr:row>
      <xdr:rowOff>0</xdr:rowOff>
    </xdr:from>
    <xdr:ext cx="0" cy="142875"/>
    <xdr:pic>
      <xdr:nvPicPr>
        <xdr:cNvPr id="30" name="Picture 2">
          <a:extLst>
            <a:ext uri="{FF2B5EF4-FFF2-40B4-BE49-F238E27FC236}">
              <a16:creationId xmlns:a16="http://schemas.microsoft.com/office/drawing/2014/main" id="{E51D44E7-BD12-4379-A036-B188616D71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706177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43</xdr:row>
      <xdr:rowOff>0</xdr:rowOff>
    </xdr:from>
    <xdr:ext cx="0" cy="142875"/>
    <xdr:pic>
      <xdr:nvPicPr>
        <xdr:cNvPr id="31" name="Picture 30">
          <a:extLst>
            <a:ext uri="{FF2B5EF4-FFF2-40B4-BE49-F238E27FC236}">
              <a16:creationId xmlns:a16="http://schemas.microsoft.com/office/drawing/2014/main" id="{04AD4314-B68A-41FF-8FBC-2A3A780D8F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706177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43</xdr:row>
      <xdr:rowOff>0</xdr:rowOff>
    </xdr:from>
    <xdr:ext cx="0" cy="142875"/>
    <xdr:pic>
      <xdr:nvPicPr>
        <xdr:cNvPr id="32" name="Picture 2">
          <a:extLst>
            <a:ext uri="{FF2B5EF4-FFF2-40B4-BE49-F238E27FC236}">
              <a16:creationId xmlns:a16="http://schemas.microsoft.com/office/drawing/2014/main" id="{0A1BC55E-733E-45BF-B349-C00CB2A3C7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706177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43</xdr:row>
      <xdr:rowOff>0</xdr:rowOff>
    </xdr:from>
    <xdr:ext cx="0" cy="142875"/>
    <xdr:pic>
      <xdr:nvPicPr>
        <xdr:cNvPr id="33" name="Picture 2">
          <a:extLst>
            <a:ext uri="{FF2B5EF4-FFF2-40B4-BE49-F238E27FC236}">
              <a16:creationId xmlns:a16="http://schemas.microsoft.com/office/drawing/2014/main" id="{AAEE9C66-A78E-465B-B2D3-338442A674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706177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43</xdr:row>
      <xdr:rowOff>0</xdr:rowOff>
    </xdr:from>
    <xdr:ext cx="0" cy="142875"/>
    <xdr:pic>
      <xdr:nvPicPr>
        <xdr:cNvPr id="34" name="Picture 2">
          <a:extLst>
            <a:ext uri="{FF2B5EF4-FFF2-40B4-BE49-F238E27FC236}">
              <a16:creationId xmlns:a16="http://schemas.microsoft.com/office/drawing/2014/main" id="{93B6AB71-23A5-44A2-8A29-EDF75E32AF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7061775"/>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lnquang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224A-4059-4A6C-913A-4580C9BB3A83}">
  <sheetPr>
    <pageSetUpPr fitToPage="1"/>
  </sheetPr>
  <dimension ref="A1:G57"/>
  <sheetViews>
    <sheetView tabSelected="1" view="pageBreakPreview" topLeftCell="A31" zoomScale="96" zoomScaleNormal="85" zoomScaleSheetLayoutView="96" workbookViewId="0">
      <selection activeCell="O8" sqref="O8"/>
    </sheetView>
  </sheetViews>
  <sheetFormatPr defaultColWidth="9.140625" defaultRowHeight="15"/>
  <cols>
    <col min="1" max="1" width="4.85546875" style="9" customWidth="1"/>
    <col min="2" max="2" width="28.28515625" style="3" customWidth="1"/>
    <col min="3" max="3" width="76.140625" style="3" customWidth="1"/>
    <col min="4" max="4" width="6.85546875" style="9" customWidth="1"/>
    <col min="5" max="5" width="8.7109375" style="10" customWidth="1"/>
    <col min="6" max="6" width="15.42578125" style="11" customWidth="1"/>
    <col min="7" max="7" width="16.140625" style="12" customWidth="1"/>
    <col min="8" max="16384" width="9.140625" style="3"/>
  </cols>
  <sheetData>
    <row r="1" spans="1:7" ht="99.75" customHeight="1">
      <c r="C1" s="55" t="s">
        <v>21</v>
      </c>
      <c r="D1" s="56"/>
      <c r="E1" s="56"/>
      <c r="F1" s="56"/>
      <c r="G1" s="56"/>
    </row>
    <row r="2" spans="1:7" hidden="1">
      <c r="A2" s="57"/>
      <c r="B2" s="57"/>
      <c r="C2" s="57"/>
      <c r="D2" s="57"/>
      <c r="E2" s="58"/>
      <c r="F2" s="58"/>
      <c r="G2" s="57"/>
    </row>
    <row r="3" spans="1:7" ht="25.5" customHeight="1">
      <c r="A3" s="59" t="s">
        <v>8</v>
      </c>
      <c r="B3" s="60"/>
      <c r="C3" s="60"/>
      <c r="D3" s="60"/>
      <c r="E3" s="60"/>
      <c r="F3" s="60"/>
      <c r="G3" s="60"/>
    </row>
    <row r="4" spans="1:7" ht="14.25" customHeight="1">
      <c r="A4" s="61" t="s">
        <v>15</v>
      </c>
      <c r="B4" s="61"/>
      <c r="C4" s="61"/>
      <c r="D4" s="61"/>
      <c r="E4" s="61"/>
      <c r="F4" s="61"/>
      <c r="G4" s="61"/>
    </row>
    <row r="5" spans="1:7">
      <c r="A5" s="62" t="s">
        <v>22</v>
      </c>
      <c r="B5" s="62"/>
      <c r="C5" s="62"/>
      <c r="D5" s="62"/>
      <c r="E5" s="62"/>
      <c r="F5" s="62"/>
      <c r="G5" s="62"/>
    </row>
    <row r="6" spans="1:7">
      <c r="A6" s="46" t="s">
        <v>0</v>
      </c>
      <c r="B6" s="46"/>
      <c r="C6" s="1" t="s">
        <v>62</v>
      </c>
      <c r="D6" s="46" t="s">
        <v>1</v>
      </c>
      <c r="E6" s="46"/>
      <c r="F6" s="63">
        <f ca="1">TODAY()</f>
        <v>46248</v>
      </c>
      <c r="G6" s="63"/>
    </row>
    <row r="7" spans="1:7" ht="15" customHeight="1">
      <c r="A7" s="46" t="s">
        <v>2</v>
      </c>
      <c r="B7" s="46"/>
      <c r="C7" s="15"/>
      <c r="D7" s="46" t="s">
        <v>3</v>
      </c>
      <c r="E7" s="46"/>
      <c r="F7" s="53"/>
      <c r="G7" s="53"/>
    </row>
    <row r="8" spans="1:7">
      <c r="A8" s="46" t="s">
        <v>4</v>
      </c>
      <c r="B8" s="46"/>
      <c r="C8" s="2"/>
      <c r="D8" s="46" t="s">
        <v>4</v>
      </c>
      <c r="E8" s="46"/>
      <c r="F8" s="54" t="s">
        <v>19</v>
      </c>
      <c r="G8" s="54"/>
    </row>
    <row r="9" spans="1:7">
      <c r="A9" s="46" t="s">
        <v>5</v>
      </c>
      <c r="B9" s="46"/>
      <c r="C9" s="2"/>
      <c r="D9" s="46" t="s">
        <v>5</v>
      </c>
      <c r="E9" s="46"/>
      <c r="F9" s="47" t="s">
        <v>23</v>
      </c>
      <c r="G9" s="48"/>
    </row>
    <row r="10" spans="1:7" ht="36.75" customHeight="1">
      <c r="A10" s="49" t="s">
        <v>6</v>
      </c>
      <c r="B10" s="50"/>
      <c r="C10" s="50"/>
      <c r="D10" s="50"/>
      <c r="E10" s="50"/>
      <c r="F10" s="50"/>
      <c r="G10" s="51"/>
    </row>
    <row r="11" spans="1:7" s="4" customFormat="1" ht="28.5">
      <c r="A11" s="16" t="s">
        <v>10</v>
      </c>
      <c r="B11" s="16" t="s">
        <v>11</v>
      </c>
      <c r="C11" s="16" t="s">
        <v>9</v>
      </c>
      <c r="D11" s="16" t="s">
        <v>12</v>
      </c>
      <c r="E11" s="16" t="s">
        <v>13</v>
      </c>
      <c r="F11" s="17" t="s">
        <v>16</v>
      </c>
      <c r="G11" s="18" t="s">
        <v>17</v>
      </c>
    </row>
    <row r="12" spans="1:7" s="4" customFormat="1" ht="15" customHeight="1">
      <c r="A12" s="52" t="s">
        <v>24</v>
      </c>
      <c r="B12" s="52"/>
      <c r="C12" s="52"/>
      <c r="D12" s="52"/>
      <c r="E12" s="52"/>
      <c r="F12" s="19"/>
      <c r="G12" s="20"/>
    </row>
    <row r="13" spans="1:7" s="5" customFormat="1">
      <c r="A13" s="6" t="s">
        <v>7</v>
      </c>
      <c r="B13" s="44" t="s">
        <v>45</v>
      </c>
      <c r="C13" s="44"/>
      <c r="D13" s="6"/>
      <c r="E13" s="6"/>
      <c r="F13" s="7"/>
      <c r="G13" s="8">
        <f>SUM(G14:G21)</f>
        <v>26120000</v>
      </c>
    </row>
    <row r="14" spans="1:7" s="5" customFormat="1" ht="126">
      <c r="A14" s="31">
        <v>1</v>
      </c>
      <c r="B14" s="21" t="s">
        <v>25</v>
      </c>
      <c r="C14" s="22" t="s">
        <v>57</v>
      </c>
      <c r="D14" s="23" t="s">
        <v>14</v>
      </c>
      <c r="E14" s="23">
        <v>1</v>
      </c>
      <c r="F14" s="24">
        <v>7670000</v>
      </c>
      <c r="G14" s="25">
        <f t="shared" ref="G14" si="0">F14*E14</f>
        <v>7670000</v>
      </c>
    </row>
    <row r="15" spans="1:7" s="5" customFormat="1" ht="94.5">
      <c r="A15" s="31">
        <v>2</v>
      </c>
      <c r="B15" s="32" t="s">
        <v>46</v>
      </c>
      <c r="C15" s="33" t="s">
        <v>44</v>
      </c>
      <c r="D15" s="23" t="s">
        <v>14</v>
      </c>
      <c r="E15" s="28">
        <v>1</v>
      </c>
      <c r="F15" s="29">
        <v>2450000</v>
      </c>
      <c r="G15" s="25">
        <f>F15*E15</f>
        <v>2450000</v>
      </c>
    </row>
    <row r="16" spans="1:7" s="5" customFormat="1" ht="47.25">
      <c r="A16" s="31">
        <v>3</v>
      </c>
      <c r="B16" s="26" t="s">
        <v>26</v>
      </c>
      <c r="C16" s="27" t="s">
        <v>42</v>
      </c>
      <c r="D16" s="23" t="s">
        <v>27</v>
      </c>
      <c r="E16" s="28">
        <v>1</v>
      </c>
      <c r="F16" s="29">
        <v>2790000</v>
      </c>
      <c r="G16" s="25">
        <f t="shared" ref="G16:G21" si="1">F16*E16</f>
        <v>2790000</v>
      </c>
    </row>
    <row r="17" spans="1:7" s="5" customFormat="1" ht="15.75">
      <c r="A17" s="31">
        <v>4</v>
      </c>
      <c r="B17" s="26" t="s">
        <v>50</v>
      </c>
      <c r="C17" s="30" t="s">
        <v>51</v>
      </c>
      <c r="D17" s="23" t="s">
        <v>18</v>
      </c>
      <c r="E17" s="28">
        <v>1000</v>
      </c>
      <c r="F17" s="29">
        <v>5000</v>
      </c>
      <c r="G17" s="25">
        <f t="shared" si="1"/>
        <v>5000000</v>
      </c>
    </row>
    <row r="18" spans="1:7" s="13" customFormat="1" ht="15.75">
      <c r="A18" s="31">
        <v>5</v>
      </c>
      <c r="B18" s="26" t="s">
        <v>43</v>
      </c>
      <c r="C18" s="30"/>
      <c r="D18" s="23" t="s">
        <v>20</v>
      </c>
      <c r="E18" s="28">
        <v>4</v>
      </c>
      <c r="F18" s="29">
        <v>170000</v>
      </c>
      <c r="G18" s="25">
        <f t="shared" si="1"/>
        <v>680000</v>
      </c>
    </row>
    <row r="19" spans="1:7" s="13" customFormat="1" ht="15.75">
      <c r="A19" s="31">
        <v>6</v>
      </c>
      <c r="B19" s="26" t="s">
        <v>56</v>
      </c>
      <c r="C19" s="30"/>
      <c r="D19" s="23" t="s">
        <v>18</v>
      </c>
      <c r="E19" s="28">
        <v>60</v>
      </c>
      <c r="F19" s="29">
        <v>19000</v>
      </c>
      <c r="G19" s="25">
        <f t="shared" si="1"/>
        <v>1140000</v>
      </c>
    </row>
    <row r="20" spans="1:7" s="5" customFormat="1" ht="15.75">
      <c r="A20" s="31">
        <v>7</v>
      </c>
      <c r="B20" s="26" t="s">
        <v>28</v>
      </c>
      <c r="C20" s="30" t="s">
        <v>29</v>
      </c>
      <c r="D20" s="23" t="s">
        <v>30</v>
      </c>
      <c r="E20" s="28">
        <v>1</v>
      </c>
      <c r="F20" s="29">
        <v>790000</v>
      </c>
      <c r="G20" s="25">
        <f t="shared" si="1"/>
        <v>790000</v>
      </c>
    </row>
    <row r="21" spans="1:7" s="13" customFormat="1" ht="15.75">
      <c r="A21" s="31">
        <v>8</v>
      </c>
      <c r="B21" s="42" t="s">
        <v>41</v>
      </c>
      <c r="C21" s="43"/>
      <c r="D21" s="23" t="s">
        <v>30</v>
      </c>
      <c r="E21" s="28">
        <v>1</v>
      </c>
      <c r="F21" s="29">
        <v>5600000</v>
      </c>
      <c r="G21" s="25">
        <f t="shared" si="1"/>
        <v>5600000</v>
      </c>
    </row>
    <row r="22" spans="1:7" s="5" customFormat="1">
      <c r="A22" s="6" t="s">
        <v>61</v>
      </c>
      <c r="B22" s="44" t="s">
        <v>52</v>
      </c>
      <c r="C22" s="44"/>
      <c r="D22" s="6"/>
      <c r="E22" s="6"/>
      <c r="F22" s="7"/>
      <c r="G22" s="8">
        <f>SUM(G23:G26)</f>
        <v>13260000</v>
      </c>
    </row>
    <row r="23" spans="1:7" s="5" customFormat="1" ht="47.25">
      <c r="A23" s="31">
        <v>3</v>
      </c>
      <c r="B23" s="26" t="s">
        <v>26</v>
      </c>
      <c r="C23" s="27" t="s">
        <v>42</v>
      </c>
      <c r="D23" s="23" t="s">
        <v>27</v>
      </c>
      <c r="E23" s="28">
        <v>1</v>
      </c>
      <c r="F23" s="29">
        <v>2790000</v>
      </c>
      <c r="G23" s="25">
        <f t="shared" ref="G23:G26" si="2">F23*E23</f>
        <v>2790000</v>
      </c>
    </row>
    <row r="24" spans="1:7" s="13" customFormat="1" ht="15.75">
      <c r="A24" s="31">
        <v>6</v>
      </c>
      <c r="B24" s="26" t="s">
        <v>56</v>
      </c>
      <c r="C24" s="30"/>
      <c r="D24" s="23" t="s">
        <v>18</v>
      </c>
      <c r="E24" s="28">
        <v>230</v>
      </c>
      <c r="F24" s="29">
        <v>19000</v>
      </c>
      <c r="G24" s="25">
        <f t="shared" si="2"/>
        <v>4370000</v>
      </c>
    </row>
    <row r="25" spans="1:7" s="5" customFormat="1" ht="15.75">
      <c r="A25" s="31">
        <v>9</v>
      </c>
      <c r="B25" s="26" t="s">
        <v>28</v>
      </c>
      <c r="C25" s="30" t="s">
        <v>29</v>
      </c>
      <c r="D25" s="23" t="s">
        <v>30</v>
      </c>
      <c r="E25" s="28">
        <v>1</v>
      </c>
      <c r="F25" s="29">
        <v>500000</v>
      </c>
      <c r="G25" s="25">
        <f t="shared" si="2"/>
        <v>500000</v>
      </c>
    </row>
    <row r="26" spans="1:7" s="13" customFormat="1" ht="15.75">
      <c r="A26" s="31">
        <v>10</v>
      </c>
      <c r="B26" s="42" t="s">
        <v>41</v>
      </c>
      <c r="C26" s="43"/>
      <c r="D26" s="23" t="s">
        <v>30</v>
      </c>
      <c r="E26" s="28">
        <v>1</v>
      </c>
      <c r="F26" s="29">
        <v>5600000</v>
      </c>
      <c r="G26" s="25">
        <f t="shared" si="2"/>
        <v>5600000</v>
      </c>
    </row>
    <row r="27" spans="1:7" s="5" customFormat="1">
      <c r="A27" s="6" t="s">
        <v>47</v>
      </c>
      <c r="B27" s="44" t="s">
        <v>53</v>
      </c>
      <c r="C27" s="44"/>
      <c r="D27" s="6"/>
      <c r="E27" s="6"/>
      <c r="F27" s="7"/>
      <c r="G27" s="8">
        <f>SUM(G28:G32)</f>
        <v>12600000</v>
      </c>
    </row>
    <row r="28" spans="1:7" s="5" customFormat="1" ht="47.25">
      <c r="A28" s="31">
        <v>1</v>
      </c>
      <c r="B28" s="26" t="s">
        <v>26</v>
      </c>
      <c r="C28" s="27" t="s">
        <v>42</v>
      </c>
      <c r="D28" s="23" t="s">
        <v>27</v>
      </c>
      <c r="E28" s="28">
        <v>1</v>
      </c>
      <c r="F28" s="29">
        <v>2790000</v>
      </c>
      <c r="G28" s="25">
        <f t="shared" ref="G28:G32" si="3">F28*E28</f>
        <v>2790000</v>
      </c>
    </row>
    <row r="29" spans="1:7" s="13" customFormat="1" ht="15.75">
      <c r="A29" s="31">
        <v>2</v>
      </c>
      <c r="B29" s="26" t="s">
        <v>43</v>
      </c>
      <c r="C29" s="30"/>
      <c r="D29" s="23" t="s">
        <v>20</v>
      </c>
      <c r="E29" s="28">
        <v>3</v>
      </c>
      <c r="F29" s="29">
        <v>170000</v>
      </c>
      <c r="G29" s="25">
        <f t="shared" si="3"/>
        <v>510000</v>
      </c>
    </row>
    <row r="30" spans="1:7" s="13" customFormat="1" ht="15.75">
      <c r="A30" s="31">
        <v>3</v>
      </c>
      <c r="B30" s="26" t="s">
        <v>56</v>
      </c>
      <c r="C30" s="30"/>
      <c r="D30" s="23" t="s">
        <v>18</v>
      </c>
      <c r="E30" s="28">
        <v>170</v>
      </c>
      <c r="F30" s="29">
        <v>19000</v>
      </c>
      <c r="G30" s="25">
        <f t="shared" si="3"/>
        <v>3230000</v>
      </c>
    </row>
    <row r="31" spans="1:7" s="5" customFormat="1" ht="15.75">
      <c r="A31" s="31">
        <v>4</v>
      </c>
      <c r="B31" s="26" t="s">
        <v>28</v>
      </c>
      <c r="C31" s="30" t="s">
        <v>29</v>
      </c>
      <c r="D31" s="23" t="s">
        <v>30</v>
      </c>
      <c r="E31" s="28">
        <v>1</v>
      </c>
      <c r="F31" s="29">
        <v>470000</v>
      </c>
      <c r="G31" s="25">
        <f t="shared" si="3"/>
        <v>470000</v>
      </c>
    </row>
    <row r="32" spans="1:7" s="13" customFormat="1" ht="15.75">
      <c r="A32" s="31">
        <v>5</v>
      </c>
      <c r="B32" s="42" t="s">
        <v>41</v>
      </c>
      <c r="C32" s="43"/>
      <c r="D32" s="23" t="s">
        <v>30</v>
      </c>
      <c r="E32" s="28">
        <v>1</v>
      </c>
      <c r="F32" s="29">
        <v>5600000</v>
      </c>
      <c r="G32" s="25">
        <f t="shared" si="3"/>
        <v>5600000</v>
      </c>
    </row>
    <row r="33" spans="1:7" s="5" customFormat="1">
      <c r="A33" s="6" t="s">
        <v>48</v>
      </c>
      <c r="B33" s="44" t="s">
        <v>54</v>
      </c>
      <c r="C33" s="44"/>
      <c r="D33" s="6"/>
      <c r="E33" s="6"/>
      <c r="F33" s="7"/>
      <c r="G33" s="8">
        <f>SUM(G34:G37)</f>
        <v>11880000</v>
      </c>
    </row>
    <row r="34" spans="1:7" s="5" customFormat="1" ht="47.25">
      <c r="A34" s="31">
        <v>1</v>
      </c>
      <c r="B34" s="26" t="s">
        <v>26</v>
      </c>
      <c r="C34" s="27" t="s">
        <v>42</v>
      </c>
      <c r="D34" s="23" t="s">
        <v>27</v>
      </c>
      <c r="E34" s="28">
        <v>1</v>
      </c>
      <c r="F34" s="29">
        <v>2790000</v>
      </c>
      <c r="G34" s="25">
        <f t="shared" ref="G34:G37" si="4">F34*E34</f>
        <v>2790000</v>
      </c>
    </row>
    <row r="35" spans="1:7" s="13" customFormat="1" ht="15.75">
      <c r="A35" s="31">
        <v>2</v>
      </c>
      <c r="B35" s="26" t="s">
        <v>56</v>
      </c>
      <c r="C35" s="30"/>
      <c r="D35" s="23" t="s">
        <v>18</v>
      </c>
      <c r="E35" s="28">
        <v>170</v>
      </c>
      <c r="F35" s="29">
        <v>19000</v>
      </c>
      <c r="G35" s="25">
        <f t="shared" si="4"/>
        <v>3230000</v>
      </c>
    </row>
    <row r="36" spans="1:7" s="5" customFormat="1" ht="15.75">
      <c r="A36" s="31">
        <v>3</v>
      </c>
      <c r="B36" s="26" t="s">
        <v>28</v>
      </c>
      <c r="C36" s="30" t="s">
        <v>29</v>
      </c>
      <c r="D36" s="23" t="s">
        <v>30</v>
      </c>
      <c r="E36" s="28">
        <v>1</v>
      </c>
      <c r="F36" s="29">
        <v>260000</v>
      </c>
      <c r="G36" s="25">
        <f t="shared" si="4"/>
        <v>260000</v>
      </c>
    </row>
    <row r="37" spans="1:7" s="13" customFormat="1" ht="15.75">
      <c r="A37" s="31">
        <v>4</v>
      </c>
      <c r="B37" s="42" t="s">
        <v>41</v>
      </c>
      <c r="C37" s="43"/>
      <c r="D37" s="23" t="s">
        <v>30</v>
      </c>
      <c r="E37" s="28">
        <v>1</v>
      </c>
      <c r="F37" s="29">
        <v>5600000</v>
      </c>
      <c r="G37" s="25">
        <f t="shared" si="4"/>
        <v>5600000</v>
      </c>
    </row>
    <row r="38" spans="1:7" s="5" customFormat="1">
      <c r="A38" s="6" t="s">
        <v>49</v>
      </c>
      <c r="B38" s="44" t="s">
        <v>55</v>
      </c>
      <c r="C38" s="44"/>
      <c r="D38" s="6"/>
      <c r="E38" s="6"/>
      <c r="F38" s="7"/>
      <c r="G38" s="8">
        <f>SUM(G39:G41)</f>
        <v>6810000</v>
      </c>
    </row>
    <row r="39" spans="1:7" s="13" customFormat="1" ht="15.75">
      <c r="A39" s="31">
        <v>1</v>
      </c>
      <c r="B39" s="26" t="s">
        <v>56</v>
      </c>
      <c r="C39" s="30"/>
      <c r="D39" s="23" t="s">
        <v>18</v>
      </c>
      <c r="E39" s="28">
        <v>50</v>
      </c>
      <c r="F39" s="29">
        <v>19000</v>
      </c>
      <c r="G39" s="25">
        <f t="shared" ref="G39:G41" si="5">F39*E39</f>
        <v>950000</v>
      </c>
    </row>
    <row r="40" spans="1:7" s="5" customFormat="1" ht="15.75">
      <c r="A40" s="31">
        <v>2</v>
      </c>
      <c r="B40" s="26" t="s">
        <v>28</v>
      </c>
      <c r="C40" s="30" t="s">
        <v>29</v>
      </c>
      <c r="D40" s="23" t="s">
        <v>30</v>
      </c>
      <c r="E40" s="28">
        <v>1</v>
      </c>
      <c r="F40" s="29">
        <v>260000</v>
      </c>
      <c r="G40" s="25">
        <f t="shared" si="5"/>
        <v>260000</v>
      </c>
    </row>
    <row r="41" spans="1:7" s="13" customFormat="1" ht="15.75">
      <c r="A41" s="31">
        <v>3</v>
      </c>
      <c r="B41" s="42" t="s">
        <v>41</v>
      </c>
      <c r="C41" s="43"/>
      <c r="D41" s="23" t="s">
        <v>30</v>
      </c>
      <c r="E41" s="28">
        <v>1</v>
      </c>
      <c r="F41" s="29">
        <v>5600000</v>
      </c>
      <c r="G41" s="25">
        <f t="shared" si="5"/>
        <v>5600000</v>
      </c>
    </row>
    <row r="42" spans="1:7" s="5" customFormat="1" ht="20.25">
      <c r="A42" s="45" t="s">
        <v>59</v>
      </c>
      <c r="B42" s="45"/>
      <c r="C42" s="45"/>
      <c r="D42" s="45"/>
      <c r="E42" s="45"/>
      <c r="F42" s="45"/>
      <c r="G42" s="34">
        <f>G13+G22+G27+G33+G38</f>
        <v>70670000</v>
      </c>
    </row>
    <row r="43" spans="1:7" s="5" customFormat="1" ht="20.25">
      <c r="A43" s="45" t="s">
        <v>58</v>
      </c>
      <c r="B43" s="45"/>
      <c r="C43" s="45"/>
      <c r="D43" s="45"/>
      <c r="E43" s="45"/>
      <c r="F43" s="45"/>
      <c r="G43" s="34">
        <f>G42*8%</f>
        <v>5653600</v>
      </c>
    </row>
    <row r="44" spans="1:7" s="5" customFormat="1" ht="20.25">
      <c r="A44" s="45" t="s">
        <v>60</v>
      </c>
      <c r="B44" s="45"/>
      <c r="C44" s="45"/>
      <c r="D44" s="45"/>
      <c r="E44" s="45"/>
      <c r="F44" s="45"/>
      <c r="G44" s="34">
        <f>G42+G43</f>
        <v>76323600</v>
      </c>
    </row>
    <row r="45" spans="1:7" s="5" customFormat="1">
      <c r="A45" s="39" t="s">
        <v>31</v>
      </c>
      <c r="B45" s="39"/>
      <c r="C45" s="39"/>
      <c r="D45" s="39"/>
      <c r="E45" s="39"/>
      <c r="F45" s="39"/>
      <c r="G45" s="40"/>
    </row>
    <row r="46" spans="1:7" s="5" customFormat="1">
      <c r="A46" s="35" t="s">
        <v>32</v>
      </c>
      <c r="B46" s="35"/>
      <c r="C46" s="35"/>
      <c r="D46" s="35"/>
      <c r="E46" s="35"/>
      <c r="F46" s="35"/>
      <c r="G46" s="35"/>
    </row>
    <row r="47" spans="1:7" s="5" customFormat="1">
      <c r="A47" s="35" t="s">
        <v>33</v>
      </c>
      <c r="B47" s="35"/>
      <c r="C47" s="35"/>
      <c r="D47" s="35"/>
      <c r="E47" s="35"/>
      <c r="F47" s="35"/>
      <c r="G47" s="35"/>
    </row>
    <row r="48" spans="1:7" ht="23.25" customHeight="1">
      <c r="A48" s="41" t="s">
        <v>34</v>
      </c>
      <c r="B48" s="41"/>
      <c r="C48" s="41"/>
      <c r="D48" s="41"/>
      <c r="E48" s="41"/>
      <c r="F48" s="41"/>
      <c r="G48" s="41"/>
    </row>
    <row r="49" spans="1:7" s="14" customFormat="1" ht="22.5" customHeight="1">
      <c r="A49" s="41" t="s">
        <v>35</v>
      </c>
      <c r="B49" s="41"/>
      <c r="C49" s="41"/>
      <c r="D49" s="41"/>
      <c r="E49" s="41"/>
      <c r="F49" s="41"/>
      <c r="G49" s="41"/>
    </row>
    <row r="50" spans="1:7" ht="15" hidden="1" customHeight="1">
      <c r="A50" s="35" t="s">
        <v>36</v>
      </c>
      <c r="B50" s="35"/>
      <c r="C50" s="35"/>
      <c r="D50" s="35"/>
      <c r="E50" s="35"/>
      <c r="F50" s="35"/>
      <c r="G50" s="35"/>
    </row>
    <row r="51" spans="1:7" ht="18" hidden="1" customHeight="1">
      <c r="A51" s="35" t="s">
        <v>37</v>
      </c>
      <c r="B51" s="35"/>
      <c r="C51" s="35"/>
      <c r="D51" s="35"/>
      <c r="E51" s="35"/>
      <c r="F51" s="35"/>
      <c r="G51" s="35"/>
    </row>
    <row r="52" spans="1:7" ht="17.25" hidden="1" customHeight="1">
      <c r="A52" s="36" t="s">
        <v>38</v>
      </c>
      <c r="B52" s="36"/>
      <c r="C52" s="36"/>
      <c r="D52" s="36" t="s">
        <v>39</v>
      </c>
      <c r="E52" s="36"/>
      <c r="F52" s="36"/>
      <c r="G52" s="36"/>
    </row>
    <row r="53" spans="1:7">
      <c r="A53" s="37"/>
      <c r="B53" s="37"/>
      <c r="C53" s="37"/>
      <c r="D53" s="36"/>
      <c r="E53" s="36"/>
      <c r="F53" s="36"/>
      <c r="G53" s="36"/>
    </row>
    <row r="54" spans="1:7">
      <c r="A54" s="37"/>
      <c r="B54" s="37"/>
      <c r="C54" s="37"/>
      <c r="D54" s="36"/>
      <c r="E54" s="36"/>
      <c r="F54" s="36"/>
      <c r="G54" s="36"/>
    </row>
    <row r="55" spans="1:7">
      <c r="A55" s="37"/>
      <c r="B55" s="37"/>
      <c r="C55" s="37"/>
      <c r="D55" s="36"/>
      <c r="E55" s="36"/>
      <c r="F55" s="36"/>
      <c r="G55" s="36"/>
    </row>
    <row r="56" spans="1:7">
      <c r="A56" s="37"/>
      <c r="B56" s="37"/>
      <c r="C56" s="37"/>
      <c r="D56" s="38" t="s">
        <v>1</v>
      </c>
      <c r="E56" s="38"/>
      <c r="F56" s="38"/>
      <c r="G56" s="38"/>
    </row>
    <row r="57" spans="1:7">
      <c r="A57" s="37"/>
      <c r="B57" s="37"/>
      <c r="C57" s="37"/>
      <c r="D57" s="38" t="s">
        <v>40</v>
      </c>
      <c r="E57" s="38"/>
      <c r="F57" s="38"/>
      <c r="G57" s="38"/>
    </row>
  </sheetData>
  <mergeCells count="45">
    <mergeCell ref="A6:B6"/>
    <mergeCell ref="D6:E6"/>
    <mergeCell ref="F6:G6"/>
    <mergeCell ref="C1:G1"/>
    <mergeCell ref="A2:G2"/>
    <mergeCell ref="A3:G3"/>
    <mergeCell ref="A4:G4"/>
    <mergeCell ref="A5:G5"/>
    <mergeCell ref="A7:B7"/>
    <mergeCell ref="D7:E7"/>
    <mergeCell ref="F7:G7"/>
    <mergeCell ref="A8:B8"/>
    <mergeCell ref="D8:E8"/>
    <mergeCell ref="F8:G8"/>
    <mergeCell ref="B33:C33"/>
    <mergeCell ref="A9:B9"/>
    <mergeCell ref="D9:E9"/>
    <mergeCell ref="F9:G9"/>
    <mergeCell ref="A10:G10"/>
    <mergeCell ref="A12:E12"/>
    <mergeCell ref="B13:C13"/>
    <mergeCell ref="B21:C21"/>
    <mergeCell ref="B22:C22"/>
    <mergeCell ref="B26:C26"/>
    <mergeCell ref="B27:C27"/>
    <mergeCell ref="B32:C32"/>
    <mergeCell ref="A50:G50"/>
    <mergeCell ref="B37:C37"/>
    <mergeCell ref="B38:C38"/>
    <mergeCell ref="B41:C41"/>
    <mergeCell ref="A42:F42"/>
    <mergeCell ref="A43:F43"/>
    <mergeCell ref="A44:F44"/>
    <mergeCell ref="A45:G45"/>
    <mergeCell ref="A46:G46"/>
    <mergeCell ref="A47:G47"/>
    <mergeCell ref="A48:G48"/>
    <mergeCell ref="A49:G49"/>
    <mergeCell ref="A51:G51"/>
    <mergeCell ref="A52:C52"/>
    <mergeCell ref="D52:G52"/>
    <mergeCell ref="A53:C57"/>
    <mergeCell ref="D53:G55"/>
    <mergeCell ref="D56:G56"/>
    <mergeCell ref="D57:G57"/>
  </mergeCells>
  <hyperlinks>
    <hyperlink ref="F9" r:id="rId1" xr:uid="{B805A45B-4079-440A-B642-074FBF6BE511}"/>
  </hyperlinks>
  <printOptions horizontalCentered="1"/>
  <pageMargins left="0.23622047244094491" right="0.23622047244094491" top="0.51181102362204722" bottom="0.51181102362204722" header="0.31496062992125984" footer="0.31496062992125984"/>
  <pageSetup paperSize="9" scale="64" fitToHeight="0" orientation="portrait" r:id="rId2"/>
  <headerFooter alignWithMargins="0"/>
  <rowBreaks count="1" manualBreakCount="1">
    <brk id="32" max="6"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KAHO (2)</vt:lpstr>
      <vt:lpstr>'KAHO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 Hieu</dc:creator>
  <cp:lastModifiedBy>Administrator</cp:lastModifiedBy>
  <cp:lastPrinted>2026-05-12T05:07:06Z</cp:lastPrinted>
  <dcterms:created xsi:type="dcterms:W3CDTF">2019-04-01T15:19:54Z</dcterms:created>
  <dcterms:modified xsi:type="dcterms:W3CDTF">2026-08-14T05:52:06Z</dcterms:modified>
</cp:coreProperties>
</file>